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DIPA\Semester 7\Skripsi\Format\"/>
    </mc:Choice>
  </mc:AlternateContent>
  <xr:revisionPtr revIDLastSave="0" documentId="13_ncr:1_{692F9572-BA1D-4A4C-B396-E2A31FF2C155}" xr6:coauthVersionLast="47" xr6:coauthVersionMax="47" xr10:uidLastSave="{00000000-0000-0000-0000-000000000000}"/>
  <bookViews>
    <workbookView xWindow="-108" yWindow="-108" windowWidth="23256" windowHeight="12456" xr2:uid="{901D0503-6946-40CA-8D36-37B156763246}"/>
  </bookViews>
  <sheets>
    <sheet name="Kost" sheetId="3" r:id="rId1"/>
    <sheet name="Ressponden" sheetId="1" r:id="rId2"/>
    <sheet name="Bobot Kriteri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2" i="2"/>
  <c r="B12" i="1"/>
  <c r="B8" i="1"/>
  <c r="B3" i="1"/>
  <c r="B11" i="1"/>
  <c r="B10" i="1"/>
  <c r="B9" i="1"/>
  <c r="B7" i="1"/>
  <c r="B6" i="1"/>
  <c r="B5" i="1"/>
  <c r="B4" i="1"/>
  <c r="B2" i="1"/>
  <c r="N25" i="1"/>
  <c r="K25" i="1"/>
  <c r="H25" i="1"/>
  <c r="E25" i="1"/>
  <c r="B25" i="1"/>
</calcChain>
</file>

<file path=xl/sharedStrings.xml><?xml version="1.0" encoding="utf-8"?>
<sst xmlns="http://schemas.openxmlformats.org/spreadsheetml/2006/main" count="315" uniqueCount="140">
  <si>
    <t xml:space="preserve">Biaya </t>
  </si>
  <si>
    <t>Fasilitas</t>
  </si>
  <si>
    <t>Luas Kamar</t>
  </si>
  <si>
    <t>Jarak</t>
  </si>
  <si>
    <t>Keamanan</t>
  </si>
  <si>
    <t>Batas Jam Malam</t>
  </si>
  <si>
    <t>linkungan pendukung</t>
  </si>
  <si>
    <t>Jenis air</t>
  </si>
  <si>
    <t>jenis listrik</t>
  </si>
  <si>
    <t>jalur transaportasi</t>
  </si>
  <si>
    <t>Kruteria</t>
  </si>
  <si>
    <t>Bobot</t>
  </si>
  <si>
    <t>R1 = Abid</t>
  </si>
  <si>
    <t>R2 = Epo</t>
  </si>
  <si>
    <t>R3 = Irwan</t>
  </si>
  <si>
    <t>R4 = Reyhan</t>
  </si>
  <si>
    <t>no</t>
  </si>
  <si>
    <t>Sub Kriteria</t>
  </si>
  <si>
    <t>Simbol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</si>
  <si>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</si>
  <si>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</si>
  <si>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</si>
  <si>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</si>
  <si>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</si>
  <si>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</si>
  <si>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</si>
  <si>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</si>
  <si>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</si>
  <si>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</si>
  <si>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Nilai</t>
  </si>
  <si>
    <t>Biaya</t>
  </si>
  <si>
    <t>≤ Rp 700.000 – Rp 900.000</t>
  </si>
  <si>
    <t>&gt; Rp 900.000 – Rp 1.300.000</t>
  </si>
  <si>
    <t>&gt; Rp 1.300.000 – Rp 1.600.000</t>
  </si>
  <si>
    <t>&gt; Rp 1.600.000 – Rp 2.000.000</t>
  </si>
  <si>
    <t>&gt; Rp 2.000.000</t>
  </si>
  <si>
    <t>Kategori</t>
  </si>
  <si>
    <t>Cost</t>
  </si>
  <si>
    <t>Benefit</t>
  </si>
  <si>
    <t xml:space="preserve">Nilai </t>
  </si>
  <si>
    <t>Lingkungan Pendukung</t>
  </si>
  <si>
    <t>Jenis Air</t>
  </si>
  <si>
    <t>Jenis Listrik</t>
  </si>
  <si>
    <t>Jalur Transportasi</t>
  </si>
  <si>
    <t>Semakin Rendah semakin Baik</t>
  </si>
  <si>
    <t>Semakin Tinggi semakin Baik</t>
  </si>
  <si>
    <t>&gt;= 7M^2 - 10M^2</t>
  </si>
  <si>
    <t>&gt;= 10M^2 - 14M^2</t>
  </si>
  <si>
    <t>&gt;= 14M^2 - 18M^2</t>
  </si>
  <si>
    <t>&gt; 18M^2</t>
  </si>
  <si>
    <t>&lt; 7M^2</t>
  </si>
  <si>
    <t>&lt; 500 m</t>
  </si>
  <si>
    <t>&gt;= 500 m - 1km</t>
  </si>
  <si>
    <t>&gt;= 1km - 2km</t>
  </si>
  <si>
    <t>&gt;= 2km - 3km</t>
  </si>
  <si>
    <t>&gt; 3km</t>
  </si>
  <si>
    <t xml:space="preserve">Tidak ada </t>
  </si>
  <si>
    <t>Satpam</t>
  </si>
  <si>
    <t>CCTV</t>
  </si>
  <si>
    <t>Satpam &amp;&amp; CCTV</t>
  </si>
  <si>
    <t>21,00</t>
  </si>
  <si>
    <t>22,00</t>
  </si>
  <si>
    <t>23,00 - 24,00</t>
  </si>
  <si>
    <t>beri kunci</t>
  </si>
  <si>
    <t>24 jam terbuka</t>
  </si>
  <si>
    <t>Tempat Makan</t>
  </si>
  <si>
    <t>Atk</t>
  </si>
  <si>
    <t>Mini Market</t>
  </si>
  <si>
    <t>Ibadah</t>
  </si>
  <si>
    <t>tidak ada</t>
  </si>
  <si>
    <t>Prabayar</t>
  </si>
  <si>
    <t>Bulanan</t>
  </si>
  <si>
    <t>Pada Waktu Sewa</t>
  </si>
  <si>
    <t>Jalan Kaki</t>
  </si>
  <si>
    <t>Motor</t>
  </si>
  <si>
    <t>Mobil</t>
  </si>
  <si>
    <t>Angkutan Umum</t>
  </si>
  <si>
    <t>Tempat tidur</t>
  </si>
  <si>
    <t>Kamar mandi</t>
  </si>
  <si>
    <t>Meja</t>
  </si>
  <si>
    <t>Wifi</t>
  </si>
  <si>
    <t>Tempat parkir</t>
  </si>
  <si>
    <t>Lemari</t>
  </si>
  <si>
    <t>No</t>
  </si>
  <si>
    <t>Nama Kost</t>
  </si>
  <si>
    <t>Nama Pemilik Kost</t>
  </si>
  <si>
    <t>Alamat Kost</t>
  </si>
  <si>
    <t>No tlpn Pemilik Kost</t>
  </si>
  <si>
    <t>Jenis Kost</t>
  </si>
  <si>
    <t>Harga</t>
  </si>
  <si>
    <t>Fasiltas</t>
  </si>
  <si>
    <t>Lokasi Pendukung</t>
  </si>
  <si>
    <t xml:space="preserve"> Batas Jam Malam</t>
  </si>
  <si>
    <t>Transportasi</t>
  </si>
  <si>
    <t>Pondok Harmony 1</t>
  </si>
  <si>
    <t>Pondok Harmony 2</t>
  </si>
  <si>
    <t>Pondok Harmony 3</t>
  </si>
  <si>
    <t>KF02</t>
  </si>
  <si>
    <t>Pondok Mama</t>
  </si>
  <si>
    <t>Pondiok Hikmah Jaya 2</t>
  </si>
  <si>
    <t>Olan</t>
  </si>
  <si>
    <t>Jalan Sahabat 3 no 15</t>
  </si>
  <si>
    <t>+6285926084686</t>
  </si>
  <si>
    <t>Rp 800.000</t>
  </si>
  <si>
    <t>Rp 1.200.000</t>
  </si>
  <si>
    <t>Rp 1.500.000</t>
  </si>
  <si>
    <t>3x4</t>
  </si>
  <si>
    <t>4x5</t>
  </si>
  <si>
    <t xml:space="preserve">Spring Bed
Kipas,
Lemari,
Meja,
Wc Dalam,
Dapur Dalam,      AC,                        Wifi         </t>
  </si>
  <si>
    <t>Spring Bed,
Kipas,
Lemari,
Meja,
Wc Dalam,
Dapur Dalam,    wifi</t>
  </si>
  <si>
    <t>Pembayaran Awal dan Sumur Bor</t>
  </si>
  <si>
    <t>Token</t>
  </si>
  <si>
    <t>CCTV sama Penjaga</t>
  </si>
  <si>
    <t>Smart Lock berbasis Kunci Pagar</t>
  </si>
  <si>
    <t xml:space="preserve">CCTV sama penjaga </t>
  </si>
  <si>
    <t>Angkutan Umum, Motor,                   Mobil</t>
  </si>
  <si>
    <t xml:space="preserve">Laundry,                    tempat makan, Masjid                   Fotocopy ATK,           Warung                  </t>
  </si>
  <si>
    <t>Kasman Sudirman</t>
  </si>
  <si>
    <t>Tidak di Publish</t>
  </si>
  <si>
    <t>Token dan Prabayar</t>
  </si>
  <si>
    <t>Umum</t>
  </si>
  <si>
    <t>Jalan Sahabat Raya no 27</t>
  </si>
  <si>
    <t>Spring Bed, Lemari,               Meja,          Exhaust,               AC</t>
  </si>
  <si>
    <t>Bebas</t>
  </si>
  <si>
    <t>Bebas,                        Kunci Pagar</t>
  </si>
  <si>
    <t>5 x4</t>
  </si>
  <si>
    <t>PLN dan Perbulan</t>
  </si>
  <si>
    <t>CCTV, Penjaga</t>
  </si>
  <si>
    <t>Tempat tidur,          Spring Bed,                Lemari</t>
  </si>
  <si>
    <t>8 Juta Per Tahun</t>
  </si>
  <si>
    <t>Mardawati</t>
  </si>
  <si>
    <t>22, 00 dan kunci</t>
  </si>
  <si>
    <t>Putri</t>
  </si>
  <si>
    <t>+6285323006053</t>
  </si>
  <si>
    <t>Jalan Sahabat 3 no 18</t>
  </si>
  <si>
    <t>Ibu Sakia sama Bapak Anto</t>
  </si>
  <si>
    <t xml:space="preserve">+6285399929977, +6282124347558 </t>
  </si>
  <si>
    <t>Rp. 1.500.000</t>
  </si>
  <si>
    <t>4x3</t>
  </si>
  <si>
    <t>Ac,                              Spring Bed,              Lemari,                    Wc Dalam,                  wifi,                            electric hoist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</si>
</sst>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AEE5-C1DF-4E3B-B1A0-CC373A6F6C73}">
  <dimension ref="A2:O25"/>
  <sheetViews>
    <sheetView tabSelected="1" zoomScale="47" workbookViewId="0">
      <selection activeCell="H9" sqref="H9"/>
    </sheetView>
  </sheetViews>
  <sheetFormatPr defaultRowHeight="14.4" x14ac:dyDescent="0.3"/>
  <cols>
    <col min="1" max="1" width="4.44140625" customWidth="1"/>
    <col min="2" max="2" width="28.21875" customWidth="1"/>
    <col min="3" max="3" width="17.33203125" customWidth="1"/>
    <col min="4" max="4" width="25.109375" customWidth="1"/>
    <col min="5" max="5" width="18.33203125" customWidth="1"/>
    <col min="6" max="6" width="12.5546875" customWidth="1"/>
    <col min="7" max="7" width="11.5546875" customWidth="1"/>
    <col min="8" max="8" width="16.109375" customWidth="1"/>
    <col min="9" max="9" width="13.77734375" customWidth="1"/>
    <col min="10" max="10" width="18.109375" customWidth="1"/>
    <col min="11" max="11" width="13.44140625" customWidth="1"/>
    <col min="12" max="12" width="11.44140625" customWidth="1"/>
    <col min="13" max="13" width="18.88671875" customWidth="1"/>
    <col min="14" max="14" width="20.6640625" customWidth="1"/>
    <col min="15" max="15" width="18.21875" customWidth="1"/>
  </cols>
  <sheetData>
    <row r="2" spans="1:15" x14ac:dyDescent="0.3">
      <c r="A2" s="9" t="s">
        <v>83</v>
      </c>
      <c r="B2" s="9" t="s">
        <v>84</v>
      </c>
      <c r="C2" s="9" t="s">
        <v>85</v>
      </c>
      <c r="D2" s="9" t="s">
        <v>86</v>
      </c>
      <c r="E2" s="8" t="s">
        <v>87</v>
      </c>
      <c r="F2" s="9" t="s">
        <v>88</v>
      </c>
      <c r="G2" s="9" t="s">
        <v>89</v>
      </c>
      <c r="H2" s="12" t="s">
        <v>90</v>
      </c>
      <c r="I2" s="9" t="s">
        <v>42</v>
      </c>
      <c r="J2" s="9" t="s">
        <v>41</v>
      </c>
      <c r="K2" s="9" t="s">
        <v>2</v>
      </c>
      <c r="L2" s="9" t="s">
        <v>4</v>
      </c>
      <c r="M2" s="9" t="s">
        <v>91</v>
      </c>
      <c r="N2" s="9" t="s">
        <v>92</v>
      </c>
      <c r="O2" s="9" t="s">
        <v>93</v>
      </c>
    </row>
    <row r="3" spans="1:15" ht="100.8" x14ac:dyDescent="0.3">
      <c r="A3" s="6">
        <v>1</v>
      </c>
      <c r="B3" s="9" t="s">
        <v>94</v>
      </c>
      <c r="C3" s="9" t="s">
        <v>100</v>
      </c>
      <c r="D3" s="9" t="s">
        <v>101</v>
      </c>
      <c r="E3" s="8" t="s">
        <v>102</v>
      </c>
      <c r="G3" s="8" t="s">
        <v>103</v>
      </c>
      <c r="H3" s="3" t="s">
        <v>109</v>
      </c>
      <c r="I3" s="9" t="s">
        <v>111</v>
      </c>
      <c r="J3" s="7" t="s">
        <v>110</v>
      </c>
      <c r="K3" s="9" t="s">
        <v>106</v>
      </c>
      <c r="L3" s="5" t="s">
        <v>112</v>
      </c>
      <c r="M3" s="5" t="s">
        <v>116</v>
      </c>
      <c r="N3" s="9" t="s">
        <v>61</v>
      </c>
      <c r="O3" s="5" t="s">
        <v>115</v>
      </c>
    </row>
    <row r="4" spans="1:15" ht="115.2" x14ac:dyDescent="0.3">
      <c r="A4" s="6">
        <v>2</v>
      </c>
      <c r="B4" s="9" t="s">
        <v>95</v>
      </c>
      <c r="C4" s="9" t="s">
        <v>100</v>
      </c>
      <c r="D4" s="9" t="s">
        <v>101</v>
      </c>
      <c r="E4" s="8" t="s">
        <v>102</v>
      </c>
      <c r="G4" s="8" t="s">
        <v>104</v>
      </c>
      <c r="H4" s="11" t="s">
        <v>108</v>
      </c>
      <c r="I4" s="9" t="s">
        <v>111</v>
      </c>
      <c r="J4" s="7" t="s">
        <v>110</v>
      </c>
      <c r="K4" s="9" t="s">
        <v>106</v>
      </c>
      <c r="L4" s="5" t="s">
        <v>114</v>
      </c>
      <c r="M4" s="5" t="s">
        <v>116</v>
      </c>
      <c r="N4" s="5" t="s">
        <v>113</v>
      </c>
      <c r="O4" s="5" t="s">
        <v>115</v>
      </c>
    </row>
    <row r="5" spans="1:15" ht="115.2" x14ac:dyDescent="0.3">
      <c r="A5" s="9">
        <v>3</v>
      </c>
      <c r="B5" s="9" t="s">
        <v>96</v>
      </c>
      <c r="C5" s="9" t="s">
        <v>100</v>
      </c>
      <c r="D5" s="4"/>
      <c r="E5" s="8" t="s">
        <v>102</v>
      </c>
      <c r="G5" s="10" t="s">
        <v>105</v>
      </c>
      <c r="H5" s="11" t="s">
        <v>108</v>
      </c>
      <c r="I5" s="9" t="s">
        <v>111</v>
      </c>
      <c r="J5" s="7" t="s">
        <v>110</v>
      </c>
      <c r="K5" s="9" t="s">
        <v>107</v>
      </c>
      <c r="L5" s="5" t="s">
        <v>114</v>
      </c>
      <c r="M5" s="5" t="s">
        <v>116</v>
      </c>
      <c r="O5" s="5" t="s">
        <v>115</v>
      </c>
    </row>
    <row r="6" spans="1:15" ht="72" x14ac:dyDescent="0.3">
      <c r="A6" s="9">
        <v>4</v>
      </c>
      <c r="B6" s="9" t="s">
        <v>99</v>
      </c>
      <c r="C6" s="9" t="s">
        <v>130</v>
      </c>
      <c r="D6" s="9" t="s">
        <v>134</v>
      </c>
      <c r="E6" s="8" t="s">
        <v>133</v>
      </c>
      <c r="F6" s="9" t="s">
        <v>132</v>
      </c>
      <c r="G6" s="14" t="s">
        <v>129</v>
      </c>
      <c r="H6" s="13" t="s">
        <v>128</v>
      </c>
      <c r="I6" s="12" t="s">
        <v>126</v>
      </c>
      <c r="J6" s="7" t="s">
        <v>110</v>
      </c>
      <c r="K6" s="9" t="s">
        <v>125</v>
      </c>
      <c r="L6" s="5" t="s">
        <v>127</v>
      </c>
      <c r="M6" s="5" t="s">
        <v>116</v>
      </c>
      <c r="N6" s="9" t="s">
        <v>131</v>
      </c>
      <c r="O6" s="5" t="s">
        <v>115</v>
      </c>
    </row>
    <row r="7" spans="1:15" ht="72" x14ac:dyDescent="0.3">
      <c r="A7" s="9">
        <v>5</v>
      </c>
      <c r="B7" s="9" t="s">
        <v>97</v>
      </c>
      <c r="C7" s="9" t="s">
        <v>117</v>
      </c>
      <c r="D7" s="9" t="s">
        <v>121</v>
      </c>
      <c r="E7" s="8" t="s">
        <v>118</v>
      </c>
      <c r="F7" s="9" t="s">
        <v>120</v>
      </c>
      <c r="G7" s="8" t="s">
        <v>105</v>
      </c>
      <c r="H7" s="3" t="s">
        <v>122</v>
      </c>
      <c r="I7" s="12" t="s">
        <v>119</v>
      </c>
      <c r="J7" s="7" t="s">
        <v>110</v>
      </c>
      <c r="K7" s="9" t="s">
        <v>106</v>
      </c>
      <c r="L7" s="5" t="s">
        <v>114</v>
      </c>
      <c r="M7" s="5" t="s">
        <v>116</v>
      </c>
      <c r="N7" s="13" t="s">
        <v>124</v>
      </c>
      <c r="O7" s="5" t="s">
        <v>115</v>
      </c>
    </row>
    <row r="8" spans="1:15" ht="86.4" x14ac:dyDescent="0.3">
      <c r="A8" s="9">
        <v>6</v>
      </c>
      <c r="B8" s="9" t="s">
        <v>98</v>
      </c>
      <c r="C8" s="12" t="s">
        <v>135</v>
      </c>
      <c r="D8" s="9" t="s">
        <v>101</v>
      </c>
      <c r="E8" s="14" t="s">
        <v>136</v>
      </c>
      <c r="F8" s="9" t="s">
        <v>132</v>
      </c>
      <c r="G8" s="8" t="s">
        <v>137</v>
      </c>
      <c r="H8" s="3" t="s">
        <v>139</v>
      </c>
      <c r="I8" s="9" t="s">
        <v>111</v>
      </c>
      <c r="J8" s="7" t="s">
        <v>110</v>
      </c>
      <c r="K8" s="9" t="s">
        <v>138</v>
      </c>
      <c r="L8" s="5" t="s">
        <v>114</v>
      </c>
      <c r="M8" s="5" t="s">
        <v>116</v>
      </c>
      <c r="N8" t="s">
        <v>123</v>
      </c>
      <c r="O8" s="5" t="s">
        <v>115</v>
      </c>
    </row>
    <row r="9" spans="1:15" x14ac:dyDescent="0.3">
      <c r="E9" s="2"/>
      <c r="G9" s="2"/>
      <c r="H9" s="3"/>
    </row>
    <row r="10" spans="1:15" x14ac:dyDescent="0.3">
      <c r="E10" s="2"/>
      <c r="G10" s="2"/>
      <c r="H10" s="3"/>
    </row>
    <row r="11" spans="1:15" x14ac:dyDescent="0.3">
      <c r="E11" s="2"/>
      <c r="G11" s="2"/>
      <c r="H11" s="3"/>
    </row>
    <row r="12" spans="1:15" x14ac:dyDescent="0.3">
      <c r="E12" s="2"/>
      <c r="G12" s="2"/>
      <c r="H12" s="3"/>
    </row>
    <row r="13" spans="1:15" x14ac:dyDescent="0.3">
      <c r="E13" s="2"/>
      <c r="G13" s="2"/>
      <c r="H13" s="3"/>
    </row>
    <row r="14" spans="1:15" x14ac:dyDescent="0.3">
      <c r="E14" s="2"/>
      <c r="G14" s="2"/>
      <c r="H14" s="3"/>
    </row>
    <row r="15" spans="1:15" x14ac:dyDescent="0.3">
      <c r="E15" s="2"/>
      <c r="G15" s="2"/>
      <c r="H15" s="3"/>
    </row>
    <row r="16" spans="1:15" x14ac:dyDescent="0.3">
      <c r="E16" s="2"/>
      <c r="G16" s="2"/>
      <c r="H16" s="3"/>
    </row>
    <row r="17" spans="5:8" x14ac:dyDescent="0.3">
      <c r="E17" s="2"/>
      <c r="G17" s="2"/>
      <c r="H17" s="3"/>
    </row>
    <row r="18" spans="5:8" x14ac:dyDescent="0.3">
      <c r="E18" s="2"/>
      <c r="G18" s="2"/>
      <c r="H18" s="3"/>
    </row>
    <row r="19" spans="5:8" x14ac:dyDescent="0.3">
      <c r="E19" s="2"/>
      <c r="G19" s="2"/>
      <c r="H19" s="3"/>
    </row>
    <row r="20" spans="5:8" x14ac:dyDescent="0.3">
      <c r="E20" s="2"/>
      <c r="G20" s="2"/>
      <c r="H20" s="3"/>
    </row>
    <row r="21" spans="5:8" x14ac:dyDescent="0.3">
      <c r="E21" s="2"/>
      <c r="H21" s="3"/>
    </row>
    <row r="22" spans="5:8" x14ac:dyDescent="0.3">
      <c r="E22" s="2"/>
      <c r="H22" s="3"/>
    </row>
    <row r="23" spans="5:8" x14ac:dyDescent="0.3">
      <c r="E23" s="2"/>
    </row>
    <row r="24" spans="5:8" x14ac:dyDescent="0.3">
      <c r="E24" s="2"/>
    </row>
    <row r="25" spans="5:8" x14ac:dyDescent="0.3">
      <c r="E2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7028-436B-4FE2-9CD4-951DC7160D43}">
  <dimension ref="A1:N25"/>
  <sheetViews>
    <sheetView topLeftCell="A6" zoomScale="118" workbookViewId="0">
      <selection activeCell="B2" sqref="B2"/>
    </sheetView>
  </sheetViews>
  <sheetFormatPr defaultRowHeight="14.4" x14ac:dyDescent="0.3"/>
  <cols>
    <col min="1" max="1" width="20.44140625" customWidth="1"/>
    <col min="4" max="4" width="19.88671875" customWidth="1"/>
    <col min="7" max="7" width="18.109375" customWidth="1"/>
    <col min="10" max="10" width="18.5546875" customWidth="1"/>
  </cols>
  <sheetData>
    <row r="1" spans="1:14" x14ac:dyDescent="0.3">
      <c r="A1" t="s">
        <v>10</v>
      </c>
      <c r="B1" t="s">
        <v>11</v>
      </c>
      <c r="D1" t="s">
        <v>16</v>
      </c>
    </row>
    <row r="2" spans="1:14" x14ac:dyDescent="0.3">
      <c r="A2" t="s">
        <v>0</v>
      </c>
      <c r="B2">
        <f t="shared" ref="B2:B11" si="0">AVERAGE(B15,E15,H15,K15,N15)</f>
        <v>18.399999999999999</v>
      </c>
      <c r="D2">
        <v>1</v>
      </c>
    </row>
    <row r="3" spans="1:14" x14ac:dyDescent="0.3">
      <c r="A3" t="s">
        <v>1</v>
      </c>
      <c r="B3">
        <f t="shared" si="0"/>
        <v>11.2</v>
      </c>
      <c r="D3">
        <v>2</v>
      </c>
    </row>
    <row r="4" spans="1:14" x14ac:dyDescent="0.3">
      <c r="A4" t="s">
        <v>2</v>
      </c>
      <c r="B4">
        <f t="shared" si="0"/>
        <v>10.6</v>
      </c>
      <c r="D4">
        <v>3</v>
      </c>
    </row>
    <row r="5" spans="1:14" x14ac:dyDescent="0.3">
      <c r="A5" t="s">
        <v>3</v>
      </c>
      <c r="B5">
        <f t="shared" si="0"/>
        <v>11.6</v>
      </c>
      <c r="D5">
        <v>4</v>
      </c>
    </row>
    <row r="6" spans="1:14" x14ac:dyDescent="0.3">
      <c r="A6" t="s">
        <v>4</v>
      </c>
      <c r="B6">
        <f t="shared" si="0"/>
        <v>14.2</v>
      </c>
      <c r="D6">
        <v>5</v>
      </c>
    </row>
    <row r="7" spans="1:14" x14ac:dyDescent="0.3">
      <c r="A7" t="s">
        <v>5</v>
      </c>
      <c r="B7">
        <f t="shared" si="0"/>
        <v>7.2</v>
      </c>
      <c r="D7">
        <v>6</v>
      </c>
    </row>
    <row r="8" spans="1:14" x14ac:dyDescent="0.3">
      <c r="A8" t="s">
        <v>6</v>
      </c>
      <c r="B8">
        <f t="shared" si="0"/>
        <v>7</v>
      </c>
      <c r="D8">
        <v>7</v>
      </c>
    </row>
    <row r="9" spans="1:14" x14ac:dyDescent="0.3">
      <c r="A9" t="s">
        <v>7</v>
      </c>
      <c r="B9">
        <f t="shared" si="0"/>
        <v>6</v>
      </c>
      <c r="D9">
        <v>8</v>
      </c>
    </row>
    <row r="10" spans="1:14" x14ac:dyDescent="0.3">
      <c r="A10" t="s">
        <v>8</v>
      </c>
      <c r="B10">
        <f t="shared" si="0"/>
        <v>7</v>
      </c>
      <c r="D10">
        <v>9</v>
      </c>
    </row>
    <row r="11" spans="1:14" x14ac:dyDescent="0.3">
      <c r="A11" t="s">
        <v>9</v>
      </c>
      <c r="B11">
        <f t="shared" si="0"/>
        <v>6.8</v>
      </c>
      <c r="D11">
        <v>10</v>
      </c>
    </row>
    <row r="12" spans="1:14" x14ac:dyDescent="0.3">
      <c r="B12">
        <f>SUM(B2:B11)</f>
        <v>100</v>
      </c>
    </row>
    <row r="13" spans="1:14" x14ac:dyDescent="0.3">
      <c r="A13" t="s">
        <v>12</v>
      </c>
      <c r="D13" t="s">
        <v>13</v>
      </c>
      <c r="G13" t="s">
        <v>14</v>
      </c>
      <c r="J13" t="s">
        <v>15</v>
      </c>
    </row>
    <row r="14" spans="1:14" x14ac:dyDescent="0.3">
      <c r="A14" t="s">
        <v>10</v>
      </c>
      <c r="B14" t="s">
        <v>11</v>
      </c>
      <c r="D14" t="s">
        <v>10</v>
      </c>
      <c r="E14" t="s">
        <v>11</v>
      </c>
      <c r="G14" t="s">
        <v>10</v>
      </c>
      <c r="H14" t="s">
        <v>11</v>
      </c>
      <c r="J14" t="s">
        <v>10</v>
      </c>
      <c r="K14" t="s">
        <v>11</v>
      </c>
      <c r="M14" t="s">
        <v>10</v>
      </c>
      <c r="N14" t="s">
        <v>11</v>
      </c>
    </row>
    <row r="15" spans="1:14" x14ac:dyDescent="0.3">
      <c r="A15" t="s">
        <v>0</v>
      </c>
      <c r="B15">
        <v>22</v>
      </c>
      <c r="D15" t="s">
        <v>0</v>
      </c>
      <c r="E15">
        <v>25</v>
      </c>
      <c r="G15" t="s">
        <v>0</v>
      </c>
      <c r="H15">
        <v>20</v>
      </c>
      <c r="J15" t="s">
        <v>0</v>
      </c>
      <c r="K15">
        <v>13</v>
      </c>
      <c r="M15" t="s">
        <v>0</v>
      </c>
      <c r="N15">
        <v>12</v>
      </c>
    </row>
    <row r="16" spans="1:14" x14ac:dyDescent="0.3">
      <c r="A16" t="s">
        <v>1</v>
      </c>
      <c r="B16">
        <v>18</v>
      </c>
      <c r="D16" t="s">
        <v>1</v>
      </c>
      <c r="E16">
        <v>8</v>
      </c>
      <c r="G16" t="s">
        <v>1</v>
      </c>
      <c r="H16">
        <v>10</v>
      </c>
      <c r="J16" t="s">
        <v>1</v>
      </c>
      <c r="K16">
        <v>10</v>
      </c>
      <c r="M16" t="s">
        <v>1</v>
      </c>
      <c r="N16">
        <v>10</v>
      </c>
    </row>
    <row r="17" spans="1:14" x14ac:dyDescent="0.3">
      <c r="A17" t="s">
        <v>2</v>
      </c>
      <c r="B17">
        <v>12</v>
      </c>
      <c r="D17" t="s">
        <v>2</v>
      </c>
      <c r="E17">
        <v>10</v>
      </c>
      <c r="G17" t="s">
        <v>2</v>
      </c>
      <c r="H17">
        <v>15</v>
      </c>
      <c r="J17" t="s">
        <v>2</v>
      </c>
      <c r="K17">
        <v>5</v>
      </c>
      <c r="M17" t="s">
        <v>2</v>
      </c>
      <c r="N17">
        <v>11</v>
      </c>
    </row>
    <row r="18" spans="1:14" x14ac:dyDescent="0.3">
      <c r="A18" t="s">
        <v>3</v>
      </c>
      <c r="B18">
        <v>8</v>
      </c>
      <c r="D18" t="s">
        <v>3</v>
      </c>
      <c r="E18">
        <v>20</v>
      </c>
      <c r="G18" t="s">
        <v>3</v>
      </c>
      <c r="H18">
        <v>15</v>
      </c>
      <c r="J18" t="s">
        <v>3</v>
      </c>
      <c r="K18">
        <v>5</v>
      </c>
      <c r="M18" t="s">
        <v>3</v>
      </c>
      <c r="N18">
        <v>10</v>
      </c>
    </row>
    <row r="19" spans="1:14" x14ac:dyDescent="0.3">
      <c r="A19" t="s">
        <v>4</v>
      </c>
      <c r="B19">
        <v>10</v>
      </c>
      <c r="D19" t="s">
        <v>4</v>
      </c>
      <c r="E19">
        <v>15</v>
      </c>
      <c r="G19" t="s">
        <v>4</v>
      </c>
      <c r="H19">
        <v>6</v>
      </c>
      <c r="J19" t="s">
        <v>4</v>
      </c>
      <c r="K19">
        <v>20</v>
      </c>
      <c r="M19" t="s">
        <v>4</v>
      </c>
      <c r="N19">
        <v>20</v>
      </c>
    </row>
    <row r="20" spans="1:14" x14ac:dyDescent="0.3">
      <c r="A20" t="s">
        <v>5</v>
      </c>
      <c r="B20">
        <v>8</v>
      </c>
      <c r="D20" t="s">
        <v>5</v>
      </c>
      <c r="E20">
        <v>2</v>
      </c>
      <c r="G20" t="s">
        <v>5</v>
      </c>
      <c r="H20">
        <v>6</v>
      </c>
      <c r="J20" t="s">
        <v>5</v>
      </c>
      <c r="K20">
        <v>10</v>
      </c>
      <c r="M20" t="s">
        <v>5</v>
      </c>
      <c r="N20">
        <v>10</v>
      </c>
    </row>
    <row r="21" spans="1:14" x14ac:dyDescent="0.3">
      <c r="A21" t="s">
        <v>6</v>
      </c>
      <c r="B21">
        <v>6</v>
      </c>
      <c r="D21" t="s">
        <v>6</v>
      </c>
      <c r="E21">
        <v>5</v>
      </c>
      <c r="G21" t="s">
        <v>6</v>
      </c>
      <c r="H21">
        <v>10</v>
      </c>
      <c r="J21" t="s">
        <v>6</v>
      </c>
      <c r="K21">
        <v>7</v>
      </c>
      <c r="M21" t="s">
        <v>6</v>
      </c>
      <c r="N21">
        <v>7</v>
      </c>
    </row>
    <row r="22" spans="1:14" x14ac:dyDescent="0.3">
      <c r="A22" t="s">
        <v>7</v>
      </c>
      <c r="B22">
        <v>5</v>
      </c>
      <c r="D22" t="s">
        <v>7</v>
      </c>
      <c r="E22">
        <v>5</v>
      </c>
      <c r="G22" t="s">
        <v>7</v>
      </c>
      <c r="H22">
        <v>5</v>
      </c>
      <c r="J22" t="s">
        <v>7</v>
      </c>
      <c r="K22">
        <v>10</v>
      </c>
      <c r="M22" t="s">
        <v>7</v>
      </c>
      <c r="N22">
        <v>5</v>
      </c>
    </row>
    <row r="23" spans="1:14" x14ac:dyDescent="0.3">
      <c r="A23" t="s">
        <v>8</v>
      </c>
      <c r="B23">
        <v>5</v>
      </c>
      <c r="D23" t="s">
        <v>8</v>
      </c>
      <c r="E23">
        <v>5</v>
      </c>
      <c r="G23" t="s">
        <v>8</v>
      </c>
      <c r="H23">
        <v>5</v>
      </c>
      <c r="J23" t="s">
        <v>8</v>
      </c>
      <c r="K23">
        <v>10</v>
      </c>
      <c r="M23" t="s">
        <v>8</v>
      </c>
      <c r="N23">
        <v>10</v>
      </c>
    </row>
    <row r="24" spans="1:14" x14ac:dyDescent="0.3">
      <c r="A24" t="s">
        <v>9</v>
      </c>
      <c r="B24">
        <v>6</v>
      </c>
      <c r="D24" t="s">
        <v>9</v>
      </c>
      <c r="E24">
        <v>5</v>
      </c>
      <c r="G24" t="s">
        <v>9</v>
      </c>
      <c r="H24">
        <v>8</v>
      </c>
      <c r="J24" t="s">
        <v>9</v>
      </c>
      <c r="K24">
        <v>10</v>
      </c>
      <c r="M24" t="s">
        <v>9</v>
      </c>
      <c r="N24">
        <v>5</v>
      </c>
    </row>
    <row r="25" spans="1:14" x14ac:dyDescent="0.3">
      <c r="B25">
        <f>SUM(B15:B24)</f>
        <v>100</v>
      </c>
      <c r="E25">
        <f>SUM(E15:E24)</f>
        <v>100</v>
      </c>
      <c r="H25">
        <f>SUM(H15:H24)</f>
        <v>100</v>
      </c>
      <c r="K25">
        <f>SUM(K15:K24)</f>
        <v>100</v>
      </c>
      <c r="N25">
        <f>SUM(N15:N24)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EEF9-7F2E-4545-9951-0F532151B120}">
  <dimension ref="A1:U27"/>
  <sheetViews>
    <sheetView zoomScale="76" workbookViewId="0">
      <selection activeCell="O27" sqref="O27"/>
    </sheetView>
  </sheetViews>
  <sheetFormatPr defaultRowHeight="14.4" x14ac:dyDescent="0.3"/>
  <cols>
    <col min="1" max="1" width="20.77734375" customWidth="1"/>
    <col min="3" max="3" width="25" customWidth="1"/>
    <col min="6" max="6" width="26" customWidth="1"/>
    <col min="10" max="10" width="15" customWidth="1"/>
    <col min="14" max="14" width="18.77734375" customWidth="1"/>
    <col min="18" max="18" width="15" customWidth="1"/>
    <col min="21" max="21" width="19.88671875" customWidth="1"/>
  </cols>
  <sheetData>
    <row r="1" spans="1:21" x14ac:dyDescent="0.3">
      <c r="A1" s="1" t="s">
        <v>10</v>
      </c>
      <c r="B1" s="1" t="s">
        <v>11</v>
      </c>
      <c r="C1" s="1" t="s">
        <v>18</v>
      </c>
      <c r="E1" t="s">
        <v>17</v>
      </c>
      <c r="U1" t="s">
        <v>40</v>
      </c>
    </row>
    <row r="2" spans="1:21" x14ac:dyDescent="0.3">
      <c r="A2" s="1" t="s">
        <v>0</v>
      </c>
      <c r="B2" s="1">
        <f>Ressponden!B2</f>
        <v>18.399999999999999</v>
      </c>
      <c r="C2" s="1" t="s">
        <v>19</v>
      </c>
      <c r="U2" t="s">
        <v>65</v>
      </c>
    </row>
    <row r="3" spans="1:21" x14ac:dyDescent="0.3">
      <c r="A3" s="1" t="s">
        <v>1</v>
      </c>
      <c r="B3" s="1">
        <f>Ressponden!B3</f>
        <v>11.2</v>
      </c>
      <c r="C3" s="1" t="s">
        <v>20</v>
      </c>
      <c r="E3" t="s">
        <v>19</v>
      </c>
      <c r="F3" t="s">
        <v>30</v>
      </c>
      <c r="I3" t="s">
        <v>22</v>
      </c>
      <c r="J3" t="s">
        <v>3</v>
      </c>
      <c r="M3" t="s">
        <v>25</v>
      </c>
      <c r="N3" t="s">
        <v>40</v>
      </c>
      <c r="U3" t="s">
        <v>66</v>
      </c>
    </row>
    <row r="4" spans="1:21" x14ac:dyDescent="0.3">
      <c r="A4" s="1" t="s">
        <v>2</v>
      </c>
      <c r="B4" s="1">
        <f>Ressponden!B4</f>
        <v>10.6</v>
      </c>
      <c r="C4" s="1" t="s">
        <v>21</v>
      </c>
      <c r="F4" t="s">
        <v>29</v>
      </c>
      <c r="G4" t="s">
        <v>11</v>
      </c>
      <c r="J4" t="s">
        <v>29</v>
      </c>
      <c r="K4" t="s">
        <v>11</v>
      </c>
      <c r="N4" t="s">
        <v>29</v>
      </c>
      <c r="O4" t="s">
        <v>11</v>
      </c>
      <c r="U4" t="s">
        <v>67</v>
      </c>
    </row>
    <row r="5" spans="1:21" x14ac:dyDescent="0.3">
      <c r="A5" s="1" t="s">
        <v>3</v>
      </c>
      <c r="B5" s="1">
        <f>Ressponden!B5</f>
        <v>11.6</v>
      </c>
      <c r="C5" s="1" t="s">
        <v>22</v>
      </c>
      <c r="F5" t="s">
        <v>31</v>
      </c>
      <c r="G5">
        <v>1</v>
      </c>
      <c r="J5" t="s">
        <v>51</v>
      </c>
      <c r="K5">
        <v>1</v>
      </c>
      <c r="N5" t="s">
        <v>69</v>
      </c>
      <c r="O5">
        <v>1</v>
      </c>
      <c r="U5" t="s">
        <v>68</v>
      </c>
    </row>
    <row r="6" spans="1:21" x14ac:dyDescent="0.3">
      <c r="A6" s="1" t="s">
        <v>4</v>
      </c>
      <c r="B6" s="1">
        <f>Ressponden!B6</f>
        <v>14.2</v>
      </c>
      <c r="C6" s="1" t="s">
        <v>23</v>
      </c>
      <c r="F6" t="s">
        <v>32</v>
      </c>
      <c r="G6">
        <v>2</v>
      </c>
      <c r="J6" t="s">
        <v>52</v>
      </c>
      <c r="K6">
        <v>2</v>
      </c>
      <c r="N6">
        <v>1</v>
      </c>
      <c r="O6">
        <v>2</v>
      </c>
    </row>
    <row r="7" spans="1:21" x14ac:dyDescent="0.3">
      <c r="A7" s="1" t="s">
        <v>5</v>
      </c>
      <c r="B7" s="1">
        <f>Ressponden!B7</f>
        <v>7.2</v>
      </c>
      <c r="C7" s="1" t="s">
        <v>24</v>
      </c>
      <c r="F7" t="s">
        <v>33</v>
      </c>
      <c r="G7">
        <v>3</v>
      </c>
      <c r="J7" t="s">
        <v>53</v>
      </c>
      <c r="K7">
        <v>3</v>
      </c>
      <c r="N7">
        <v>2</v>
      </c>
      <c r="O7">
        <v>3</v>
      </c>
    </row>
    <row r="8" spans="1:21" x14ac:dyDescent="0.3">
      <c r="A8" s="1" t="s">
        <v>6</v>
      </c>
      <c r="B8" s="1">
        <f>Ressponden!B8</f>
        <v>7</v>
      </c>
      <c r="C8" s="1" t="s">
        <v>25</v>
      </c>
      <c r="F8" t="s">
        <v>34</v>
      </c>
      <c r="G8">
        <v>4</v>
      </c>
      <c r="J8" t="s">
        <v>54</v>
      </c>
      <c r="K8">
        <v>4</v>
      </c>
      <c r="N8">
        <v>3</v>
      </c>
      <c r="O8">
        <v>4</v>
      </c>
      <c r="U8" t="s">
        <v>1</v>
      </c>
    </row>
    <row r="9" spans="1:21" x14ac:dyDescent="0.3">
      <c r="A9" s="1" t="s">
        <v>7</v>
      </c>
      <c r="B9" s="1">
        <f>Ressponden!B9</f>
        <v>6</v>
      </c>
      <c r="C9" s="1" t="s">
        <v>26</v>
      </c>
      <c r="F9" t="s">
        <v>35</v>
      </c>
      <c r="G9">
        <v>5</v>
      </c>
      <c r="J9" t="s">
        <v>55</v>
      </c>
      <c r="K9">
        <v>5</v>
      </c>
      <c r="N9">
        <v>4</v>
      </c>
      <c r="O9">
        <v>5</v>
      </c>
      <c r="U9" t="s">
        <v>77</v>
      </c>
    </row>
    <row r="10" spans="1:21" x14ac:dyDescent="0.3">
      <c r="A10" s="1" t="s">
        <v>8</v>
      </c>
      <c r="B10" s="1">
        <f>Ressponden!B10</f>
        <v>7</v>
      </c>
      <c r="C10" s="1" t="s">
        <v>27</v>
      </c>
      <c r="U10" t="s">
        <v>78</v>
      </c>
    </row>
    <row r="11" spans="1:21" x14ac:dyDescent="0.3">
      <c r="A11" s="1" t="s">
        <v>9</v>
      </c>
      <c r="B11" s="1">
        <f>Ressponden!B11</f>
        <v>6.8</v>
      </c>
      <c r="C11" s="1" t="s">
        <v>28</v>
      </c>
      <c r="E11" t="s">
        <v>20</v>
      </c>
      <c r="F11" s="1" t="s">
        <v>1</v>
      </c>
      <c r="I11" t="s">
        <v>23</v>
      </c>
      <c r="J11" t="s">
        <v>4</v>
      </c>
      <c r="M11" t="s">
        <v>26</v>
      </c>
      <c r="N11" t="s">
        <v>41</v>
      </c>
      <c r="Q11" t="s">
        <v>28</v>
      </c>
      <c r="R11" t="s">
        <v>43</v>
      </c>
      <c r="U11" t="s">
        <v>79</v>
      </c>
    </row>
    <row r="12" spans="1:21" x14ac:dyDescent="0.3">
      <c r="B12">
        <f>Ressponden!B12</f>
        <v>100</v>
      </c>
      <c r="F12" t="s">
        <v>29</v>
      </c>
      <c r="G12" t="s">
        <v>11</v>
      </c>
      <c r="J12" t="s">
        <v>29</v>
      </c>
      <c r="K12" t="s">
        <v>11</v>
      </c>
      <c r="N12" t="s">
        <v>29</v>
      </c>
      <c r="O12" t="s">
        <v>11</v>
      </c>
      <c r="R12" t="s">
        <v>29</v>
      </c>
      <c r="S12" t="s">
        <v>11</v>
      </c>
      <c r="U12" t="s">
        <v>80</v>
      </c>
    </row>
    <row r="13" spans="1:21" x14ac:dyDescent="0.3">
      <c r="G13">
        <v>1</v>
      </c>
      <c r="J13" t="s">
        <v>56</v>
      </c>
      <c r="K13">
        <v>1</v>
      </c>
      <c r="N13" t="s">
        <v>71</v>
      </c>
      <c r="O13">
        <v>1</v>
      </c>
      <c r="R13" t="s">
        <v>73</v>
      </c>
      <c r="S13">
        <v>1</v>
      </c>
      <c r="U13" t="s">
        <v>81</v>
      </c>
    </row>
    <row r="14" spans="1:21" x14ac:dyDescent="0.3">
      <c r="G14">
        <v>2</v>
      </c>
      <c r="J14" t="s">
        <v>57</v>
      </c>
      <c r="K14">
        <v>2</v>
      </c>
      <c r="N14" t="s">
        <v>70</v>
      </c>
      <c r="O14">
        <v>2</v>
      </c>
      <c r="R14" t="s">
        <v>74</v>
      </c>
      <c r="S14">
        <v>2</v>
      </c>
      <c r="U14" t="s">
        <v>82</v>
      </c>
    </row>
    <row r="15" spans="1:21" x14ac:dyDescent="0.3">
      <c r="G15">
        <v>3</v>
      </c>
      <c r="J15" t="s">
        <v>58</v>
      </c>
      <c r="K15">
        <v>3</v>
      </c>
      <c r="N15" t="s">
        <v>72</v>
      </c>
      <c r="O15">
        <v>3</v>
      </c>
      <c r="R15" t="s">
        <v>75</v>
      </c>
      <c r="S15">
        <v>3</v>
      </c>
      <c r="U15" t="s">
        <v>80</v>
      </c>
    </row>
    <row r="16" spans="1:21" x14ac:dyDescent="0.3">
      <c r="A16" t="s">
        <v>10</v>
      </c>
      <c r="B16" t="s">
        <v>36</v>
      </c>
      <c r="G16">
        <v>4</v>
      </c>
      <c r="J16" t="s">
        <v>59</v>
      </c>
      <c r="K16">
        <v>4</v>
      </c>
      <c r="R16" t="s">
        <v>76</v>
      </c>
      <c r="S16">
        <v>4</v>
      </c>
    </row>
    <row r="17" spans="1:15" x14ac:dyDescent="0.3">
      <c r="A17" t="s">
        <v>0</v>
      </c>
      <c r="B17" t="s">
        <v>37</v>
      </c>
      <c r="C17" t="s">
        <v>44</v>
      </c>
      <c r="G17">
        <v>5</v>
      </c>
    </row>
    <row r="18" spans="1:15" x14ac:dyDescent="0.3">
      <c r="A18" t="s">
        <v>1</v>
      </c>
      <c r="B18" t="s">
        <v>38</v>
      </c>
      <c r="C18" t="s">
        <v>45</v>
      </c>
      <c r="M18" t="s">
        <v>27</v>
      </c>
      <c r="N18" t="s">
        <v>42</v>
      </c>
    </row>
    <row r="19" spans="1:15" x14ac:dyDescent="0.3">
      <c r="A19" t="s">
        <v>2</v>
      </c>
      <c r="B19" t="s">
        <v>38</v>
      </c>
      <c r="C19" t="s">
        <v>45</v>
      </c>
      <c r="N19" t="s">
        <v>29</v>
      </c>
      <c r="O19" t="s">
        <v>11</v>
      </c>
    </row>
    <row r="20" spans="1:15" x14ac:dyDescent="0.3">
      <c r="A20" t="s">
        <v>3</v>
      </c>
      <c r="B20" t="s">
        <v>37</v>
      </c>
      <c r="C20" t="s">
        <v>44</v>
      </c>
      <c r="N20" t="s">
        <v>71</v>
      </c>
      <c r="O20">
        <v>1</v>
      </c>
    </row>
    <row r="21" spans="1:15" x14ac:dyDescent="0.3">
      <c r="A21" t="s">
        <v>4</v>
      </c>
      <c r="B21" t="s">
        <v>38</v>
      </c>
      <c r="C21" t="s">
        <v>45</v>
      </c>
      <c r="E21" t="s">
        <v>21</v>
      </c>
      <c r="F21" t="s">
        <v>2</v>
      </c>
      <c r="I21" t="s">
        <v>24</v>
      </c>
      <c r="J21" t="s">
        <v>5</v>
      </c>
      <c r="N21" t="s">
        <v>70</v>
      </c>
      <c r="O21">
        <v>2</v>
      </c>
    </row>
    <row r="22" spans="1:15" x14ac:dyDescent="0.3">
      <c r="A22" t="s">
        <v>5</v>
      </c>
      <c r="B22" t="s">
        <v>37</v>
      </c>
      <c r="C22" t="s">
        <v>44</v>
      </c>
      <c r="F22" t="s">
        <v>39</v>
      </c>
      <c r="G22" t="s">
        <v>11</v>
      </c>
      <c r="J22" t="s">
        <v>29</v>
      </c>
      <c r="K22" t="s">
        <v>11</v>
      </c>
      <c r="N22" t="s">
        <v>72</v>
      </c>
      <c r="O22">
        <v>3</v>
      </c>
    </row>
    <row r="23" spans="1:15" x14ac:dyDescent="0.3">
      <c r="A23" t="s">
        <v>6</v>
      </c>
      <c r="B23" t="s">
        <v>38</v>
      </c>
      <c r="C23" t="s">
        <v>45</v>
      </c>
      <c r="F23" t="s">
        <v>50</v>
      </c>
      <c r="G23">
        <v>1</v>
      </c>
      <c r="J23" t="s">
        <v>60</v>
      </c>
      <c r="K23">
        <v>1</v>
      </c>
    </row>
    <row r="24" spans="1:15" x14ac:dyDescent="0.3">
      <c r="A24" t="s">
        <v>7</v>
      </c>
      <c r="B24" t="s">
        <v>38</v>
      </c>
      <c r="C24" t="s">
        <v>45</v>
      </c>
      <c r="F24" t="s">
        <v>46</v>
      </c>
      <c r="G24">
        <v>2</v>
      </c>
      <c r="J24" t="s">
        <v>61</v>
      </c>
      <c r="K24">
        <v>2</v>
      </c>
    </row>
    <row r="25" spans="1:15" x14ac:dyDescent="0.3">
      <c r="A25" t="s">
        <v>8</v>
      </c>
      <c r="B25" t="s">
        <v>38</v>
      </c>
      <c r="C25" t="s">
        <v>45</v>
      </c>
      <c r="F25" t="s">
        <v>47</v>
      </c>
      <c r="G25">
        <v>3</v>
      </c>
      <c r="J25" t="s">
        <v>62</v>
      </c>
      <c r="K25">
        <v>3</v>
      </c>
    </row>
    <row r="26" spans="1:15" x14ac:dyDescent="0.3">
      <c r="A26" t="s">
        <v>9</v>
      </c>
      <c r="B26" t="s">
        <v>38</v>
      </c>
      <c r="C26" t="s">
        <v>45</v>
      </c>
      <c r="F26" t="s">
        <v>48</v>
      </c>
      <c r="G26">
        <v>4</v>
      </c>
      <c r="J26" t="s">
        <v>63</v>
      </c>
      <c r="K26">
        <v>4</v>
      </c>
    </row>
    <row r="27" spans="1:15" x14ac:dyDescent="0.3">
      <c r="F27" t="s">
        <v>49</v>
      </c>
      <c r="G27">
        <v>5</v>
      </c>
      <c r="J27" t="s">
        <v>64</v>
      </c>
      <c r="K27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Kost</vt:lpstr>
      <vt:lpstr>Ressponden</vt:lpstr>
      <vt:lpstr>Bobot Kriteria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RAFAIDHIL</dc:creator>
  <cp:lastModifiedBy>REYHAN RAFAIDHIL</cp:lastModifiedBy>
  <dcterms:created xsi:type="dcterms:W3CDTF">2025-11-07T05:05:55Z</dcterms:created>
  <dcterms:modified xsi:type="dcterms:W3CDTF">2025-11-08T23:37:12Z</dcterms:modified>
</cp:coreProperties>
</file>