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Format\"/>
    </mc:Choice>
  </mc:AlternateContent>
  <xr:revisionPtr revIDLastSave="0" documentId="13_ncr:1_{31286E0C-D07D-459B-8F4D-439C946F721E}" xr6:coauthVersionLast="47" xr6:coauthVersionMax="47" xr10:uidLastSave="{00000000-0000-0000-0000-000000000000}"/>
  <bookViews>
    <workbookView xWindow="-108" yWindow="-108" windowWidth="23256" windowHeight="12456" tabRatio="691" activeTab="4" xr2:uid="{901D0503-6946-40CA-8D36-37B156763246}"/>
  </bookViews>
  <sheets>
    <sheet name="Kost" sheetId="3" r:id="rId1"/>
    <sheet name="Ressponden" sheetId="1" r:id="rId2"/>
    <sheet name="Bobot Kriteria" sheetId="2" r:id="rId3"/>
    <sheet name="Studi Kasus for me" sheetId="4" r:id="rId4"/>
    <sheet name="Studi Kasus for jurnal" sheetId="8" r:id="rId5"/>
    <sheet name="Sheet1" sheetId="7" r:id="rId6"/>
    <sheet name="Hasil Bab 4" sheetId="6" r:id="rId7"/>
    <sheet name="tumbal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8" i="8" l="1"/>
  <c r="J114" i="8"/>
  <c r="I114" i="8"/>
  <c r="H114" i="8"/>
  <c r="G114" i="8"/>
  <c r="G115" i="8"/>
  <c r="G116" i="8"/>
  <c r="G117" i="8"/>
  <c r="G118" i="8"/>
  <c r="G119" i="8"/>
  <c r="F114" i="8"/>
  <c r="E114" i="8"/>
  <c r="D114" i="8"/>
  <c r="C114" i="8"/>
  <c r="B114" i="8"/>
  <c r="B83" i="8"/>
  <c r="B108" i="8"/>
  <c r="B98" i="8"/>
  <c r="F90" i="8"/>
  <c r="B90" i="8"/>
  <c r="B82" i="8"/>
  <c r="K97" i="8"/>
  <c r="B97" i="8"/>
  <c r="F89" i="8"/>
  <c r="B89" i="8"/>
  <c r="K81" i="8"/>
  <c r="B81" i="8"/>
  <c r="B107" i="8"/>
  <c r="B88" i="8"/>
  <c r="E106" i="8"/>
  <c r="B96" i="8"/>
  <c r="F88" i="8"/>
  <c r="K80" i="8"/>
  <c r="F80" i="8"/>
  <c r="B80" i="8"/>
  <c r="K95" i="8"/>
  <c r="F95" i="8"/>
  <c r="B95" i="8"/>
  <c r="F87" i="8"/>
  <c r="B87" i="8"/>
  <c r="B79" i="8"/>
  <c r="K94" i="8"/>
  <c r="F94" i="8"/>
  <c r="B94" i="8"/>
  <c r="K86" i="8"/>
  <c r="B91" i="8"/>
  <c r="F86" i="8"/>
  <c r="B86" i="8"/>
  <c r="K78" i="8"/>
  <c r="F78" i="8"/>
  <c r="B78" i="8"/>
  <c r="B104" i="8"/>
  <c r="K87" i="8"/>
  <c r="K88" i="8"/>
  <c r="K89" i="8"/>
  <c r="K90" i="8"/>
  <c r="K91" i="8"/>
  <c r="G104" i="8"/>
  <c r="J119" i="8"/>
  <c r="J118" i="8"/>
  <c r="J117" i="8"/>
  <c r="I119" i="8"/>
  <c r="I118" i="8"/>
  <c r="I117" i="8"/>
  <c r="I116" i="8"/>
  <c r="H119" i="8"/>
  <c r="H118" i="8"/>
  <c r="H117" i="8"/>
  <c r="H116" i="8"/>
  <c r="F119" i="8"/>
  <c r="F118" i="8"/>
  <c r="F117" i="8"/>
  <c r="E118" i="8"/>
  <c r="E117" i="8"/>
  <c r="D119" i="8"/>
  <c r="D118" i="8"/>
  <c r="D117" i="8"/>
  <c r="C119" i="8"/>
  <c r="C118" i="8"/>
  <c r="C117" i="8"/>
  <c r="B119" i="8"/>
  <c r="B117" i="8"/>
  <c r="B116" i="8"/>
  <c r="K96" i="8"/>
  <c r="F96" i="8"/>
  <c r="F97" i="8"/>
  <c r="F98" i="8"/>
  <c r="F99" i="8"/>
  <c r="J107" i="8"/>
  <c r="J108" i="8"/>
  <c r="J109" i="8"/>
  <c r="I107" i="8"/>
  <c r="I108" i="8"/>
  <c r="I109" i="8"/>
  <c r="H107" i="8"/>
  <c r="H108" i="8"/>
  <c r="H109" i="8"/>
  <c r="G107" i="8"/>
  <c r="G108" i="8"/>
  <c r="G109" i="8"/>
  <c r="F107" i="8"/>
  <c r="F108" i="8"/>
  <c r="F109" i="8"/>
  <c r="E107" i="8"/>
  <c r="E108" i="8"/>
  <c r="E109" i="8"/>
  <c r="E119" i="8" s="1"/>
  <c r="D107" i="8"/>
  <c r="D108" i="8"/>
  <c r="D109" i="8"/>
  <c r="C107" i="8"/>
  <c r="C108" i="8"/>
  <c r="C109" i="8"/>
  <c r="B109" i="8"/>
  <c r="K98" i="8"/>
  <c r="K99" i="8"/>
  <c r="J104" i="8"/>
  <c r="I105" i="8"/>
  <c r="I115" i="8" s="1"/>
  <c r="I104" i="8"/>
  <c r="H106" i="8"/>
  <c r="B99" i="8"/>
  <c r="H104" i="8"/>
  <c r="G106" i="8"/>
  <c r="F91" i="8"/>
  <c r="F104" i="8"/>
  <c r="E116" i="8"/>
  <c r="E104" i="8"/>
  <c r="K79" i="8"/>
  <c r="K82" i="8"/>
  <c r="K83" i="8"/>
  <c r="D104" i="8"/>
  <c r="F79" i="8"/>
  <c r="C105" i="8" s="1"/>
  <c r="C115" i="8" s="1"/>
  <c r="F81" i="8"/>
  <c r="F82" i="8"/>
  <c r="F83" i="8"/>
  <c r="C104" i="8"/>
  <c r="C27" i="8"/>
  <c r="J106" i="8"/>
  <c r="J116" i="8" s="1"/>
  <c r="I106" i="8"/>
  <c r="J105" i="8"/>
  <c r="J115" i="8" s="1"/>
  <c r="H105" i="8"/>
  <c r="H115" i="8" s="1"/>
  <c r="F106" i="8"/>
  <c r="F116" i="8" s="1"/>
  <c r="G105" i="8"/>
  <c r="F105" i="8"/>
  <c r="F115" i="8" s="1"/>
  <c r="E105" i="8"/>
  <c r="E115" i="8" s="1"/>
  <c r="D106" i="8"/>
  <c r="D116" i="8" s="1"/>
  <c r="C106" i="8"/>
  <c r="C116" i="8" s="1"/>
  <c r="B106" i="8"/>
  <c r="D105" i="8"/>
  <c r="D115" i="8" s="1"/>
  <c r="B105" i="8"/>
  <c r="B115" i="8" s="1"/>
  <c r="K112" i="4"/>
  <c r="J112" i="4"/>
  <c r="I112" i="4"/>
  <c r="H112" i="4"/>
  <c r="G112" i="4"/>
  <c r="F112" i="4"/>
  <c r="E112" i="4"/>
  <c r="D112" i="4"/>
  <c r="C112" i="4"/>
  <c r="B112" i="4"/>
  <c r="I111" i="4"/>
  <c r="H111" i="4"/>
  <c r="G111" i="4"/>
  <c r="F111" i="4"/>
  <c r="E111" i="4"/>
  <c r="D111" i="4"/>
  <c r="C111" i="4"/>
  <c r="B111" i="4"/>
  <c r="K110" i="4"/>
  <c r="J110" i="4"/>
  <c r="I110" i="4"/>
  <c r="H110" i="4"/>
  <c r="G110" i="4"/>
  <c r="F110" i="4"/>
  <c r="E110" i="4"/>
  <c r="D110" i="4"/>
  <c r="C110" i="4"/>
  <c r="B110" i="4"/>
  <c r="F88" i="4"/>
  <c r="B88" i="4"/>
  <c r="J82" i="4"/>
  <c r="F82" i="4"/>
  <c r="B82" i="4"/>
  <c r="J76" i="4"/>
  <c r="J87" i="4"/>
  <c r="F87" i="4"/>
  <c r="B87" i="4"/>
  <c r="J81" i="4"/>
  <c r="F81" i="4"/>
  <c r="B75" i="4"/>
  <c r="F75" i="4"/>
  <c r="J75" i="4"/>
  <c r="B81" i="4"/>
  <c r="B101" i="4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K102" i="4"/>
  <c r="K111" i="4" s="1"/>
  <c r="J102" i="4"/>
  <c r="J111" i="4" s="1"/>
  <c r="F93" i="4"/>
  <c r="I102" i="4"/>
  <c r="I101" i="4"/>
  <c r="H102" i="4"/>
  <c r="H103" i="4"/>
  <c r="E101" i="4"/>
  <c r="D102" i="4"/>
  <c r="D103" i="4"/>
  <c r="F94" i="4"/>
  <c r="K103" i="4" s="1"/>
  <c r="F92" i="4"/>
  <c r="K101" i="4" s="1"/>
  <c r="J88" i="4"/>
  <c r="J103" i="4" s="1"/>
  <c r="J86" i="4"/>
  <c r="J101" i="4" s="1"/>
  <c r="I103" i="4"/>
  <c r="F86" i="4"/>
  <c r="B86" i="4"/>
  <c r="H101" i="4" s="1"/>
  <c r="G102" i="4"/>
  <c r="G103" i="4"/>
  <c r="J80" i="4"/>
  <c r="G101" i="4" s="1"/>
  <c r="F102" i="4"/>
  <c r="F103" i="4"/>
  <c r="F80" i="4"/>
  <c r="F101" i="4" s="1"/>
  <c r="E102" i="4"/>
  <c r="E103" i="4"/>
  <c r="B80" i="4"/>
  <c r="J74" i="4"/>
  <c r="D101" i="4" s="1"/>
  <c r="C102" i="4"/>
  <c r="F76" i="4"/>
  <c r="C103" i="4" s="1"/>
  <c r="F74" i="4"/>
  <c r="C101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K117" i="8" l="1"/>
  <c r="K118" i="8"/>
  <c r="K119" i="8"/>
  <c r="L110" i="4"/>
  <c r="L112" i="4"/>
  <c r="L111" i="4"/>
  <c r="L110" i="6"/>
  <c r="L112" i="6"/>
  <c r="L111" i="6"/>
  <c r="M111" i="6" s="1"/>
  <c r="M111" i="4" l="1"/>
  <c r="M112" i="4"/>
  <c r="M110" i="4"/>
  <c r="M112" i="6"/>
  <c r="M110" i="6"/>
  <c r="K114" i="8"/>
  <c r="K115" i="8"/>
  <c r="K116" i="8"/>
  <c r="L119" i="8" l="1"/>
  <c r="L118" i="8"/>
  <c r="L114" i="8"/>
  <c r="L116" i="8"/>
  <c r="L115" i="8"/>
  <c r="L117" i="8"/>
</calcChain>
</file>

<file path=xl/sharedStrings.xml><?xml version="1.0" encoding="utf-8"?>
<sst xmlns="http://schemas.openxmlformats.org/spreadsheetml/2006/main" count="1451" uniqueCount="302">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</sst>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O25"/>
  <sheetViews>
    <sheetView zoomScale="80" workbookViewId="0">
      <selection activeCell="H9" sqref="H9"/>
    </sheetView>
  </sheetViews>
  <sheetFormatPr defaultRowHeight="14.4" x14ac:dyDescent="0.3"/>
  <cols>
    <col min="1" max="1" width="4.44140625" customWidth="1"/>
    <col min="2" max="2" width="28.21875" customWidth="1"/>
    <col min="3" max="3" width="17.33203125" customWidth="1"/>
    <col min="4" max="4" width="25.109375" customWidth="1"/>
    <col min="5" max="5" width="18.33203125" customWidth="1"/>
    <col min="6" max="6" width="12.5546875" customWidth="1"/>
    <col min="7" max="7" width="11.5546875" customWidth="1"/>
    <col min="8" max="8" width="16.109375" customWidth="1"/>
    <col min="9" max="9" width="13.77734375" customWidth="1"/>
    <col min="10" max="10" width="18.109375" customWidth="1"/>
    <col min="11" max="11" width="13.44140625" customWidth="1"/>
    <col min="12" max="12" width="11.44140625" customWidth="1"/>
    <col min="13" max="13" width="18.88671875" customWidth="1"/>
    <col min="14" max="14" width="20.6640625" customWidth="1"/>
    <col min="15" max="15" width="18.21875" customWidth="1"/>
  </cols>
  <sheetData>
    <row r="2" spans="1:15" x14ac:dyDescent="0.3">
      <c r="A2" s="9" t="s">
        <v>77</v>
      </c>
      <c r="B2" s="9" t="s">
        <v>78</v>
      </c>
      <c r="C2" s="9" t="s">
        <v>79</v>
      </c>
      <c r="D2" s="9" t="s">
        <v>80</v>
      </c>
      <c r="E2" s="8" t="s">
        <v>81</v>
      </c>
      <c r="F2" s="9" t="s">
        <v>82</v>
      </c>
      <c r="G2" s="9" t="s">
        <v>83</v>
      </c>
      <c r="H2" s="12" t="s">
        <v>84</v>
      </c>
      <c r="I2" s="9" t="s">
        <v>42</v>
      </c>
      <c r="J2" s="9" t="s">
        <v>41</v>
      </c>
      <c r="K2" s="9" t="s">
        <v>2</v>
      </c>
      <c r="L2" s="9" t="s">
        <v>4</v>
      </c>
      <c r="M2" s="9" t="s">
        <v>85</v>
      </c>
      <c r="N2" s="9" t="s">
        <v>86</v>
      </c>
      <c r="O2" s="9" t="s">
        <v>87</v>
      </c>
    </row>
    <row r="3" spans="1:15" ht="100.8" x14ac:dyDescent="0.3">
      <c r="A3" s="6">
        <v>1</v>
      </c>
      <c r="B3" s="9" t="s">
        <v>88</v>
      </c>
      <c r="C3" s="9" t="s">
        <v>94</v>
      </c>
      <c r="D3" s="9" t="s">
        <v>95</v>
      </c>
      <c r="E3" s="8" t="s">
        <v>96</v>
      </c>
      <c r="G3" s="8" t="s">
        <v>97</v>
      </c>
      <c r="H3" s="3" t="s">
        <v>103</v>
      </c>
      <c r="I3" s="9" t="s">
        <v>105</v>
      </c>
      <c r="J3" s="7" t="s">
        <v>104</v>
      </c>
      <c r="K3" s="9" t="s">
        <v>100</v>
      </c>
      <c r="L3" s="5" t="s">
        <v>106</v>
      </c>
      <c r="M3" s="5" t="s">
        <v>110</v>
      </c>
      <c r="N3" s="9" t="s">
        <v>60</v>
      </c>
      <c r="O3" s="5" t="s">
        <v>109</v>
      </c>
    </row>
    <row r="4" spans="1:15" ht="115.2" x14ac:dyDescent="0.3">
      <c r="A4" s="6">
        <v>2</v>
      </c>
      <c r="B4" s="9" t="s">
        <v>89</v>
      </c>
      <c r="C4" s="9" t="s">
        <v>94</v>
      </c>
      <c r="D4" s="9" t="s">
        <v>95</v>
      </c>
      <c r="E4" s="8" t="s">
        <v>96</v>
      </c>
      <c r="G4" s="8" t="s">
        <v>98</v>
      </c>
      <c r="H4" s="11" t="s">
        <v>102</v>
      </c>
      <c r="I4" s="9" t="s">
        <v>105</v>
      </c>
      <c r="J4" s="7" t="s">
        <v>104</v>
      </c>
      <c r="K4" s="9" t="s">
        <v>100</v>
      </c>
      <c r="L4" s="5" t="s">
        <v>108</v>
      </c>
      <c r="M4" s="5" t="s">
        <v>110</v>
      </c>
      <c r="N4" s="5" t="s">
        <v>107</v>
      </c>
      <c r="O4" s="5" t="s">
        <v>109</v>
      </c>
    </row>
    <row r="5" spans="1:15" ht="115.2" x14ac:dyDescent="0.3">
      <c r="A5" s="9">
        <v>3</v>
      </c>
      <c r="B5" s="9" t="s">
        <v>90</v>
      </c>
      <c r="C5" s="9" t="s">
        <v>94</v>
      </c>
      <c r="D5" s="4"/>
      <c r="E5" s="8" t="s">
        <v>96</v>
      </c>
      <c r="G5" s="10" t="s">
        <v>99</v>
      </c>
      <c r="H5" s="11" t="s">
        <v>102</v>
      </c>
      <c r="I5" s="9" t="s">
        <v>105</v>
      </c>
      <c r="J5" s="7" t="s">
        <v>104</v>
      </c>
      <c r="K5" s="9" t="s">
        <v>101</v>
      </c>
      <c r="L5" s="5" t="s">
        <v>108</v>
      </c>
      <c r="M5" s="5" t="s">
        <v>110</v>
      </c>
      <c r="O5" s="5" t="s">
        <v>109</v>
      </c>
    </row>
    <row r="6" spans="1:15" ht="72" x14ac:dyDescent="0.3">
      <c r="A6" s="9">
        <v>4</v>
      </c>
      <c r="B6" s="9" t="s">
        <v>93</v>
      </c>
      <c r="C6" s="9" t="s">
        <v>124</v>
      </c>
      <c r="D6" s="9" t="s">
        <v>128</v>
      </c>
      <c r="E6" s="8" t="s">
        <v>127</v>
      </c>
      <c r="F6" s="9" t="s">
        <v>126</v>
      </c>
      <c r="G6" s="14" t="s">
        <v>123</v>
      </c>
      <c r="H6" s="13" t="s">
        <v>122</v>
      </c>
      <c r="I6" s="12" t="s">
        <v>120</v>
      </c>
      <c r="J6" s="7" t="s">
        <v>104</v>
      </c>
      <c r="K6" s="9" t="s">
        <v>119</v>
      </c>
      <c r="L6" s="5" t="s">
        <v>121</v>
      </c>
      <c r="M6" s="5" t="s">
        <v>110</v>
      </c>
      <c r="N6" s="9" t="s">
        <v>125</v>
      </c>
      <c r="O6" s="5" t="s">
        <v>109</v>
      </c>
    </row>
    <row r="7" spans="1:15" ht="72" x14ac:dyDescent="0.3">
      <c r="A7" s="9">
        <v>5</v>
      </c>
      <c r="B7" s="9" t="s">
        <v>91</v>
      </c>
      <c r="C7" s="9" t="s">
        <v>111</v>
      </c>
      <c r="D7" s="9" t="s">
        <v>115</v>
      </c>
      <c r="E7" s="8" t="s">
        <v>112</v>
      </c>
      <c r="F7" s="9" t="s">
        <v>114</v>
      </c>
      <c r="G7" s="8" t="s">
        <v>99</v>
      </c>
      <c r="H7" s="3" t="s">
        <v>116</v>
      </c>
      <c r="I7" s="12" t="s">
        <v>113</v>
      </c>
      <c r="J7" s="7" t="s">
        <v>104</v>
      </c>
      <c r="K7" s="9" t="s">
        <v>100</v>
      </c>
      <c r="L7" s="5" t="s">
        <v>108</v>
      </c>
      <c r="M7" s="5" t="s">
        <v>110</v>
      </c>
      <c r="N7" s="13" t="s">
        <v>118</v>
      </c>
      <c r="O7" s="5" t="s">
        <v>109</v>
      </c>
    </row>
    <row r="8" spans="1:15" ht="86.4" x14ac:dyDescent="0.3">
      <c r="A8" s="9">
        <v>6</v>
      </c>
      <c r="B8" s="9" t="s">
        <v>92</v>
      </c>
      <c r="C8" s="12" t="s">
        <v>129</v>
      </c>
      <c r="D8" s="9" t="s">
        <v>95</v>
      </c>
      <c r="E8" s="14" t="s">
        <v>130</v>
      </c>
      <c r="F8" s="9" t="s">
        <v>126</v>
      </c>
      <c r="G8" s="8" t="s">
        <v>131</v>
      </c>
      <c r="H8" s="3" t="s">
        <v>133</v>
      </c>
      <c r="I8" s="9" t="s">
        <v>105</v>
      </c>
      <c r="J8" s="7" t="s">
        <v>104</v>
      </c>
      <c r="K8" s="9" t="s">
        <v>132</v>
      </c>
      <c r="L8" s="5" t="s">
        <v>108</v>
      </c>
      <c r="M8" s="5" t="s">
        <v>110</v>
      </c>
      <c r="N8" t="s">
        <v>117</v>
      </c>
      <c r="O8" s="5" t="s">
        <v>109</v>
      </c>
    </row>
    <row r="9" spans="1:15" x14ac:dyDescent="0.3">
      <c r="E9" s="2"/>
      <c r="G9" s="2"/>
      <c r="H9" s="3"/>
    </row>
    <row r="10" spans="1:15" x14ac:dyDescent="0.3">
      <c r="E10" s="2"/>
      <c r="G10" s="2"/>
      <c r="H10" s="3"/>
    </row>
    <row r="11" spans="1:15" x14ac:dyDescent="0.3">
      <c r="E11" s="2"/>
      <c r="G11" s="2"/>
      <c r="H11" s="3"/>
    </row>
    <row r="12" spans="1:15" x14ac:dyDescent="0.3">
      <c r="E12" s="2"/>
      <c r="G12" s="2"/>
      <c r="H12" s="3"/>
    </row>
    <row r="13" spans="1:15" x14ac:dyDescent="0.3">
      <c r="E13" s="2"/>
      <c r="G13" s="2"/>
      <c r="H13" s="3"/>
    </row>
    <row r="14" spans="1:15" x14ac:dyDescent="0.3">
      <c r="E14" s="2"/>
      <c r="G14" s="2"/>
      <c r="H14" s="3"/>
    </row>
    <row r="15" spans="1:15" x14ac:dyDescent="0.3">
      <c r="E15" s="2"/>
      <c r="G15" s="2"/>
      <c r="H15" s="3"/>
    </row>
    <row r="16" spans="1:15" x14ac:dyDescent="0.3">
      <c r="E16" s="2"/>
      <c r="G16" s="2"/>
      <c r="H16" s="3"/>
    </row>
    <row r="17" spans="5:8" x14ac:dyDescent="0.3">
      <c r="E17" s="2"/>
      <c r="G17" s="2"/>
      <c r="H17" s="3"/>
    </row>
    <row r="18" spans="5:8" x14ac:dyDescent="0.3">
      <c r="E18" s="2"/>
      <c r="G18" s="2"/>
      <c r="H18" s="3"/>
    </row>
    <row r="19" spans="5:8" x14ac:dyDescent="0.3">
      <c r="E19" s="2"/>
      <c r="G19" s="2"/>
      <c r="H19" s="3"/>
    </row>
    <row r="20" spans="5:8" x14ac:dyDescent="0.3">
      <c r="E20" s="2"/>
      <c r="G20" s="2"/>
      <c r="H20" s="3"/>
    </row>
    <row r="21" spans="5:8" x14ac:dyDescent="0.3">
      <c r="E21" s="2"/>
      <c r="H21" s="3"/>
    </row>
    <row r="22" spans="5:8" x14ac:dyDescent="0.3">
      <c r="E22" s="2"/>
      <c r="H22" s="3"/>
    </row>
    <row r="23" spans="5:8" x14ac:dyDescent="0.3">
      <c r="E23" s="2"/>
    </row>
    <row r="24" spans="5:8" x14ac:dyDescent="0.3">
      <c r="E24" s="2"/>
    </row>
    <row r="25" spans="5:8" x14ac:dyDescent="0.3">
      <c r="E25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zoomScale="117" workbookViewId="0">
      <selection activeCell="B20" sqref="B20"/>
    </sheetView>
  </sheetViews>
  <sheetFormatPr defaultRowHeight="14.4" x14ac:dyDescent="0.3"/>
  <cols>
    <col min="1" max="1" width="20.77734375" customWidth="1"/>
    <col min="3" max="3" width="25" customWidth="1"/>
    <col min="6" max="6" width="26" customWidth="1"/>
    <col min="10" max="10" width="15" customWidth="1"/>
    <col min="14" max="14" width="18.77734375" customWidth="1"/>
    <col min="18" max="18" width="15" customWidth="1"/>
    <col min="21" max="21" width="19.88671875" customWidth="1"/>
  </cols>
  <sheetData>
    <row r="1" spans="1:21" x14ac:dyDescent="0.3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1" t="s">
        <v>8</v>
      </c>
      <c r="B10" s="1">
        <f>Ressponden!B10</f>
        <v>7</v>
      </c>
      <c r="C10" s="1" t="s">
        <v>27</v>
      </c>
      <c r="U10" t="s">
        <v>72</v>
      </c>
    </row>
    <row r="11" spans="1:21" x14ac:dyDescent="0.3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t="s">
        <v>10</v>
      </c>
      <c r="B16" t="s">
        <v>36</v>
      </c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t="s">
        <v>0</v>
      </c>
      <c r="B17" t="s">
        <v>37</v>
      </c>
      <c r="C17" t="s">
        <v>44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139</v>
      </c>
    </row>
    <row r="19" spans="1:21" x14ac:dyDescent="0.3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">
      <c r="A20" t="s">
        <v>3</v>
      </c>
      <c r="B20" t="s">
        <v>37</v>
      </c>
      <c r="C20" t="s">
        <v>44</v>
      </c>
      <c r="N20" t="s">
        <v>205</v>
      </c>
      <c r="O20">
        <v>1</v>
      </c>
    </row>
    <row r="21" spans="1:21" x14ac:dyDescent="0.3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U112"/>
  <sheetViews>
    <sheetView topLeftCell="A99" zoomScale="88" workbookViewId="0">
      <selection activeCell="K117" sqref="K117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A2" s="9" t="s">
        <v>173</v>
      </c>
      <c r="B2" s="9" t="s">
        <v>196</v>
      </c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 t="s">
        <v>227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</row>
    <row r="10" spans="1:21" x14ac:dyDescent="0.3">
      <c r="A10" s="9" t="s">
        <v>26</v>
      </c>
      <c r="B10" s="17" t="s">
        <v>7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</row>
    <row r="17" spans="1:21" ht="43.2" x14ac:dyDescent="0.3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</row>
    <row r="18" spans="1:21" x14ac:dyDescent="0.3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</v>
      </c>
    </row>
    <row r="19" spans="1:21" x14ac:dyDescent="0.3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  <c r="U19" t="s">
        <v>134</v>
      </c>
    </row>
    <row r="20" spans="1:21" x14ac:dyDescent="0.3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  <c r="U20" t="s">
        <v>72</v>
      </c>
    </row>
    <row r="21" spans="1:21" x14ac:dyDescent="0.3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  <c r="U21" t="s">
        <v>73</v>
      </c>
    </row>
    <row r="22" spans="1:21" x14ac:dyDescent="0.3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  <c r="U22" t="s">
        <v>74</v>
      </c>
    </row>
    <row r="23" spans="1:21" x14ac:dyDescent="0.3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  <c r="U23" t="s">
        <v>75</v>
      </c>
    </row>
    <row r="24" spans="1:21" x14ac:dyDescent="0.3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  <c r="U24" t="s">
        <v>76</v>
      </c>
    </row>
    <row r="25" spans="1:21" x14ac:dyDescent="0.3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  <c r="U25" t="s">
        <v>228</v>
      </c>
    </row>
    <row r="26" spans="1:21" x14ac:dyDescent="0.3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  <c r="U26" t="s">
        <v>135</v>
      </c>
    </row>
    <row r="27" spans="1:21" x14ac:dyDescent="0.3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  <c r="U27" t="s">
        <v>138</v>
      </c>
    </row>
    <row r="28" spans="1:21" x14ac:dyDescent="0.3">
      <c r="A28" s="4"/>
      <c r="B28" s="4"/>
      <c r="C28" s="4">
        <f>Ressponden!B12</f>
        <v>100</v>
      </c>
      <c r="U28" t="s">
        <v>139</v>
      </c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ht="57.6" x14ac:dyDescent="0.3">
      <c r="A49" s="12">
        <v>1</v>
      </c>
      <c r="B49" s="16" t="s">
        <v>147</v>
      </c>
      <c r="C49" s="12" t="s">
        <v>148</v>
      </c>
      <c r="D49" s="12" t="s">
        <v>189</v>
      </c>
      <c r="E49" s="12" t="s">
        <v>161</v>
      </c>
      <c r="F49" s="12" t="s">
        <v>149</v>
      </c>
      <c r="G49" s="12" t="s">
        <v>150</v>
      </c>
      <c r="H49" s="12" t="s">
        <v>63</v>
      </c>
      <c r="I49" s="12" t="s">
        <v>165</v>
      </c>
      <c r="J49" s="12" t="s">
        <v>151</v>
      </c>
      <c r="K49" s="12" t="s">
        <v>105</v>
      </c>
      <c r="L49" s="12" t="s">
        <v>168</v>
      </c>
    </row>
    <row r="50" spans="1:12" ht="43.2" x14ac:dyDescent="0.3">
      <c r="A50" s="12">
        <v>2</v>
      </c>
      <c r="B50" s="16" t="s">
        <v>152</v>
      </c>
      <c r="C50" s="14" t="s">
        <v>203</v>
      </c>
      <c r="D50" s="12" t="s">
        <v>190</v>
      </c>
      <c r="E50" s="12" t="s">
        <v>162</v>
      </c>
      <c r="F50" s="12" t="s">
        <v>153</v>
      </c>
      <c r="G50" s="12" t="s">
        <v>163</v>
      </c>
      <c r="H50" s="12" t="s">
        <v>154</v>
      </c>
      <c r="I50" s="12" t="s">
        <v>166</v>
      </c>
      <c r="J50" s="12" t="s">
        <v>155</v>
      </c>
      <c r="K50" s="12" t="s">
        <v>206</v>
      </c>
      <c r="L50" s="12" t="s">
        <v>156</v>
      </c>
    </row>
    <row r="51" spans="1:12" ht="43.2" x14ac:dyDescent="0.3">
      <c r="A51" s="12">
        <v>3</v>
      </c>
      <c r="B51" s="16" t="s">
        <v>157</v>
      </c>
      <c r="C51" s="12" t="s">
        <v>158</v>
      </c>
      <c r="D51" s="12" t="s">
        <v>191</v>
      </c>
      <c r="E51" s="12" t="s">
        <v>132</v>
      </c>
      <c r="F51" s="12" t="s">
        <v>159</v>
      </c>
      <c r="G51" s="12" t="s">
        <v>164</v>
      </c>
      <c r="H51" s="12" t="s">
        <v>63</v>
      </c>
      <c r="I51" s="12" t="s">
        <v>167</v>
      </c>
      <c r="J51" s="12" t="s">
        <v>160</v>
      </c>
      <c r="K51" s="12" t="s">
        <v>160</v>
      </c>
      <c r="L51" s="12" t="s">
        <v>169</v>
      </c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ht="57.6" x14ac:dyDescent="0.3">
      <c r="A57" s="9" t="s">
        <v>193</v>
      </c>
      <c r="B57" s="9" t="s">
        <v>197</v>
      </c>
      <c r="C57" s="12" t="s">
        <v>148</v>
      </c>
      <c r="D57" s="12" t="s">
        <v>189</v>
      </c>
      <c r="E57" s="12" t="s">
        <v>161</v>
      </c>
      <c r="F57" s="12" t="s">
        <v>149</v>
      </c>
      <c r="G57" s="12" t="s">
        <v>150</v>
      </c>
      <c r="H57" s="12" t="s">
        <v>63</v>
      </c>
      <c r="I57" s="12" t="s">
        <v>165</v>
      </c>
      <c r="J57" s="12" t="s">
        <v>151</v>
      </c>
      <c r="K57" s="12" t="s">
        <v>105</v>
      </c>
      <c r="L57" s="12" t="s">
        <v>168</v>
      </c>
    </row>
    <row r="58" spans="1:12" ht="43.2" x14ac:dyDescent="0.3">
      <c r="A58" s="9" t="s">
        <v>194</v>
      </c>
      <c r="B58" s="9" t="s">
        <v>198</v>
      </c>
      <c r="C58" s="14" t="s">
        <v>203</v>
      </c>
      <c r="D58" s="12" t="s">
        <v>190</v>
      </c>
      <c r="E58" s="12" t="s">
        <v>162</v>
      </c>
      <c r="F58" s="12" t="s">
        <v>153</v>
      </c>
      <c r="G58" s="12" t="s">
        <v>163</v>
      </c>
      <c r="H58" s="12" t="s">
        <v>154</v>
      </c>
      <c r="I58" s="12" t="s">
        <v>166</v>
      </c>
      <c r="J58" s="12" t="s">
        <v>155</v>
      </c>
      <c r="K58" s="12" t="s">
        <v>206</v>
      </c>
      <c r="L58" s="12" t="s">
        <v>156</v>
      </c>
    </row>
    <row r="59" spans="1:12" ht="43.2" x14ac:dyDescent="0.3">
      <c r="A59" s="9" t="s">
        <v>195</v>
      </c>
      <c r="B59" s="9" t="s">
        <v>199</v>
      </c>
      <c r="C59" s="12" t="s">
        <v>158</v>
      </c>
      <c r="D59" s="12" t="s">
        <v>191</v>
      </c>
      <c r="E59" s="12" t="s">
        <v>132</v>
      </c>
      <c r="F59" s="12" t="s">
        <v>159</v>
      </c>
      <c r="G59" s="12" t="s">
        <v>164</v>
      </c>
      <c r="H59" s="12" t="s">
        <v>63</v>
      </c>
      <c r="I59" s="12" t="s">
        <v>167</v>
      </c>
      <c r="J59" s="12" t="s">
        <v>160</v>
      </c>
      <c r="K59" s="12" t="s">
        <v>160</v>
      </c>
      <c r="L59" s="12" t="s">
        <v>169</v>
      </c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>
        <v>4</v>
      </c>
      <c r="C66" s="9">
        <v>4</v>
      </c>
      <c r="D66" s="9">
        <v>4</v>
      </c>
      <c r="E66" s="9">
        <v>4</v>
      </c>
      <c r="F66" s="9">
        <v>5</v>
      </c>
      <c r="G66" s="9">
        <v>5</v>
      </c>
      <c r="H66" s="9">
        <v>4</v>
      </c>
      <c r="I66" s="9">
        <v>2</v>
      </c>
      <c r="J66" s="9">
        <v>1</v>
      </c>
      <c r="K66" s="9">
        <v>2</v>
      </c>
    </row>
    <row r="67" spans="1:11" x14ac:dyDescent="0.3">
      <c r="A67" s="9" t="s">
        <v>194</v>
      </c>
      <c r="B67" s="9">
        <v>2</v>
      </c>
      <c r="C67" s="9">
        <v>3</v>
      </c>
      <c r="D67" s="9">
        <v>2</v>
      </c>
      <c r="E67" s="9">
        <v>4</v>
      </c>
      <c r="F67" s="9">
        <v>4</v>
      </c>
      <c r="G67" s="9">
        <v>3</v>
      </c>
      <c r="H67" s="9">
        <v>3</v>
      </c>
      <c r="I67" s="9">
        <v>1</v>
      </c>
      <c r="J67" s="9">
        <v>2</v>
      </c>
      <c r="K67" s="9">
        <v>1</v>
      </c>
    </row>
    <row r="68" spans="1:11" x14ac:dyDescent="0.3">
      <c r="A68" s="9" t="s">
        <v>195</v>
      </c>
      <c r="B68" s="9">
        <v>2</v>
      </c>
      <c r="C68" s="9">
        <v>4</v>
      </c>
      <c r="D68" s="9">
        <v>3</v>
      </c>
      <c r="E68" s="9">
        <v>3</v>
      </c>
      <c r="F68" s="9">
        <v>3</v>
      </c>
      <c r="G68" s="9">
        <v>5</v>
      </c>
      <c r="H68" s="9">
        <v>4</v>
      </c>
      <c r="I68" s="9">
        <v>3</v>
      </c>
      <c r="J68" s="9">
        <v>3</v>
      </c>
      <c r="K68" s="9">
        <v>3</v>
      </c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>
        <f>2/B66</f>
        <v>0.5</v>
      </c>
      <c r="E74" t="s">
        <v>193</v>
      </c>
      <c r="F74">
        <f>C66/4</f>
        <v>1</v>
      </c>
      <c r="I74" t="s">
        <v>193</v>
      </c>
      <c r="J74">
        <f>D66/4</f>
        <v>1</v>
      </c>
    </row>
    <row r="75" spans="1:11" x14ac:dyDescent="0.3">
      <c r="A75" t="s">
        <v>194</v>
      </c>
      <c r="B75">
        <f>2/B67</f>
        <v>1</v>
      </c>
      <c r="E75" t="s">
        <v>194</v>
      </c>
      <c r="F75">
        <f>C67/4</f>
        <v>0.75</v>
      </c>
      <c r="I75" t="s">
        <v>194</v>
      </c>
      <c r="J75">
        <f>D67/4</f>
        <v>0.5</v>
      </c>
    </row>
    <row r="76" spans="1:11" x14ac:dyDescent="0.3">
      <c r="A76" t="s">
        <v>195</v>
      </c>
      <c r="B76">
        <f t="shared" ref="B76" si="0">2/B68</f>
        <v>1</v>
      </c>
      <c r="E76" t="s">
        <v>195</v>
      </c>
      <c r="F76">
        <f t="shared" ref="F76" si="1">C68/4</f>
        <v>1</v>
      </c>
      <c r="I76" t="s">
        <v>195</v>
      </c>
      <c r="J76">
        <f>D68/4</f>
        <v>0.75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>
        <f>3/E66</f>
        <v>0.75</v>
      </c>
      <c r="E80" t="s">
        <v>193</v>
      </c>
      <c r="F80">
        <f>F66/5</f>
        <v>1</v>
      </c>
      <c r="I80" t="s">
        <v>193</v>
      </c>
      <c r="J80">
        <f>3/G66</f>
        <v>0.6</v>
      </c>
    </row>
    <row r="81" spans="1:10" x14ac:dyDescent="0.3">
      <c r="A81" t="s">
        <v>194</v>
      </c>
      <c r="B81">
        <f>3/E67</f>
        <v>0.75</v>
      </c>
      <c r="E81" t="s">
        <v>194</v>
      </c>
      <c r="F81">
        <f>F67/5</f>
        <v>0.8</v>
      </c>
      <c r="I81" t="s">
        <v>194</v>
      </c>
      <c r="J81">
        <f>3/G67</f>
        <v>1</v>
      </c>
    </row>
    <row r="82" spans="1:10" x14ac:dyDescent="0.3">
      <c r="A82" t="s">
        <v>195</v>
      </c>
      <c r="B82">
        <f>3/E68</f>
        <v>1</v>
      </c>
      <c r="E82" t="s">
        <v>195</v>
      </c>
      <c r="F82">
        <f>F68/5</f>
        <v>0.6</v>
      </c>
      <c r="I82" t="s">
        <v>195</v>
      </c>
      <c r="J82">
        <f>3/G68</f>
        <v>0.6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1</v>
      </c>
      <c r="E86" t="s">
        <v>193</v>
      </c>
      <c r="F86" s="19">
        <f>I66/3</f>
        <v>0.66666666666666663</v>
      </c>
      <c r="I86" t="s">
        <v>193</v>
      </c>
      <c r="J86" s="19">
        <f>J66/3</f>
        <v>0.33333333333333331</v>
      </c>
    </row>
    <row r="87" spans="1:10" x14ac:dyDescent="0.3">
      <c r="A87" t="s">
        <v>194</v>
      </c>
      <c r="B87">
        <f>H67/4</f>
        <v>0.75</v>
      </c>
      <c r="E87" t="s">
        <v>194</v>
      </c>
      <c r="F87" s="19">
        <f>I67/3</f>
        <v>0.33333333333333331</v>
      </c>
      <c r="I87" t="s">
        <v>194</v>
      </c>
      <c r="J87" s="19">
        <f>J67/3</f>
        <v>0.66666666666666663</v>
      </c>
    </row>
    <row r="88" spans="1:10" x14ac:dyDescent="0.3">
      <c r="A88" t="s">
        <v>195</v>
      </c>
      <c r="B88">
        <f>H68/4</f>
        <v>1</v>
      </c>
      <c r="E88" t="s">
        <v>195</v>
      </c>
      <c r="F88">
        <f>I68/3</f>
        <v>1</v>
      </c>
      <c r="I88" t="s">
        <v>195</v>
      </c>
      <c r="J88">
        <f t="shared" ref="J88" si="2">J68/3</f>
        <v>1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0.66666666666666663</v>
      </c>
    </row>
    <row r="93" spans="1:10" x14ac:dyDescent="0.3">
      <c r="E93" t="s">
        <v>194</v>
      </c>
      <c r="F93" s="19">
        <f>K67/3</f>
        <v>0.33333333333333331</v>
      </c>
    </row>
    <row r="94" spans="1:10" x14ac:dyDescent="0.3">
      <c r="E94" t="s">
        <v>195</v>
      </c>
      <c r="F94">
        <f t="shared" ref="F94" si="3">K68/3</f>
        <v>1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>
        <f>B74</f>
        <v>0.5</v>
      </c>
      <c r="C101" s="9">
        <f>F74</f>
        <v>1</v>
      </c>
      <c r="D101" s="9">
        <f>J74</f>
        <v>1</v>
      </c>
      <c r="E101" s="9">
        <f>B80</f>
        <v>0.75</v>
      </c>
      <c r="F101" s="9">
        <f>F80</f>
        <v>1</v>
      </c>
      <c r="G101" s="9">
        <f>J80</f>
        <v>0.6</v>
      </c>
      <c r="H101" s="9">
        <f>B86</f>
        <v>1</v>
      </c>
      <c r="I101" s="20">
        <f>F86</f>
        <v>0.66666666666666663</v>
      </c>
      <c r="J101" s="20">
        <f>J86</f>
        <v>0.33333333333333331</v>
      </c>
      <c r="K101" s="20">
        <f>F92</f>
        <v>0.66666666666666663</v>
      </c>
    </row>
    <row r="102" spans="1:13" x14ac:dyDescent="0.3">
      <c r="A102" s="9" t="s">
        <v>194</v>
      </c>
      <c r="B102" s="9">
        <f t="shared" ref="B102:B103" si="4">B75</f>
        <v>1</v>
      </c>
      <c r="C102" s="9">
        <f t="shared" ref="C102:C103" si="5">F75</f>
        <v>0.75</v>
      </c>
      <c r="D102" s="9">
        <f t="shared" ref="D102:D103" si="6">J75</f>
        <v>0.5</v>
      </c>
      <c r="E102" s="9">
        <f t="shared" ref="E102:E103" si="7">B81</f>
        <v>0.75</v>
      </c>
      <c r="F102" s="9">
        <f t="shared" ref="F102:F103" si="8">F81</f>
        <v>0.8</v>
      </c>
      <c r="G102" s="9">
        <f t="shared" ref="G102:G103" si="9">J81</f>
        <v>1</v>
      </c>
      <c r="H102" s="9">
        <f t="shared" ref="H102:H103" si="10">B87</f>
        <v>0.75</v>
      </c>
      <c r="I102" s="20">
        <f>F87</f>
        <v>0.33333333333333331</v>
      </c>
      <c r="J102" s="20">
        <f>J87</f>
        <v>0.66666666666666663</v>
      </c>
      <c r="K102" s="20">
        <f>F93</f>
        <v>0.33333333333333331</v>
      </c>
    </row>
    <row r="103" spans="1:13" x14ac:dyDescent="0.3">
      <c r="A103" s="9" t="s">
        <v>195</v>
      </c>
      <c r="B103" s="9">
        <f t="shared" si="4"/>
        <v>1</v>
      </c>
      <c r="C103" s="9">
        <f t="shared" si="5"/>
        <v>1</v>
      </c>
      <c r="D103" s="9">
        <f t="shared" si="6"/>
        <v>0.75</v>
      </c>
      <c r="E103" s="9">
        <f t="shared" si="7"/>
        <v>1</v>
      </c>
      <c r="F103" s="9">
        <f t="shared" si="8"/>
        <v>0.6</v>
      </c>
      <c r="G103" s="9">
        <f t="shared" si="9"/>
        <v>0.6</v>
      </c>
      <c r="H103" s="9">
        <f t="shared" si="10"/>
        <v>1</v>
      </c>
      <c r="I103" s="9">
        <f t="shared" ref="I103" si="11">F88</f>
        <v>1</v>
      </c>
      <c r="J103" s="9">
        <f t="shared" ref="J103" si="12">J88</f>
        <v>1</v>
      </c>
      <c r="K103" s="9">
        <f t="shared" ref="K103" si="13">F94</f>
        <v>1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>
        <f>B101*C18</f>
        <v>9.1999999999999993</v>
      </c>
      <c r="C110" s="9">
        <f>C101*C19</f>
        <v>11.2</v>
      </c>
      <c r="D110" s="9">
        <f>D101*C20</f>
        <v>10.6</v>
      </c>
      <c r="E110" s="9">
        <f>E101*C21</f>
        <v>8.6999999999999993</v>
      </c>
      <c r="F110" s="9">
        <f>F101*C22</f>
        <v>14.2</v>
      </c>
      <c r="G110" s="9">
        <f>G101*C23</f>
        <v>4.32</v>
      </c>
      <c r="H110" s="9">
        <f>H101*C24</f>
        <v>7</v>
      </c>
      <c r="I110" s="9">
        <f>I101*C25</f>
        <v>4</v>
      </c>
      <c r="J110" s="20">
        <f>J101*C26</f>
        <v>2.333333333333333</v>
      </c>
      <c r="K110" s="20">
        <f>K101*C27</f>
        <v>4.5333333333333332</v>
      </c>
      <c r="L110" s="20">
        <f>SUM(B110:K110)</f>
        <v>76.086666666666659</v>
      </c>
      <c r="M110" s="9">
        <f>RANK(L110, $L$110:$L$112, 0)</f>
        <v>2</v>
      </c>
    </row>
    <row r="111" spans="1:13" x14ac:dyDescent="0.3">
      <c r="A111" s="9" t="s">
        <v>194</v>
      </c>
      <c r="B111" s="9">
        <f>B102*C18</f>
        <v>18.399999999999999</v>
      </c>
      <c r="C111" s="9">
        <f>C102*C19</f>
        <v>8.3999999999999986</v>
      </c>
      <c r="D111" s="9">
        <f>D102*C20</f>
        <v>5.3</v>
      </c>
      <c r="E111" s="9">
        <f>E102*C21</f>
        <v>8.6999999999999993</v>
      </c>
      <c r="F111" s="9">
        <f>F102*C22</f>
        <v>11.36</v>
      </c>
      <c r="G111" s="9">
        <f>G102*C23</f>
        <v>7.2</v>
      </c>
      <c r="H111" s="9">
        <f>H102*C24</f>
        <v>5.25</v>
      </c>
      <c r="I111" s="9">
        <f>I102*C25</f>
        <v>2</v>
      </c>
      <c r="J111" s="20">
        <f>J102*C26</f>
        <v>4.6666666666666661</v>
      </c>
      <c r="K111" s="20">
        <f>K102*C27</f>
        <v>2.2666666666666666</v>
      </c>
      <c r="L111" s="20">
        <f>SUM(B111:K111)</f>
        <v>73.543333333333337</v>
      </c>
      <c r="M111" s="9">
        <f t="shared" ref="M111:M112" si="14">RANK(L111, $L$110:$L$112, 0)</f>
        <v>3</v>
      </c>
    </row>
    <row r="112" spans="1:13" x14ac:dyDescent="0.3">
      <c r="A112" s="9" t="s">
        <v>195</v>
      </c>
      <c r="B112" s="9">
        <f>B103*C18</f>
        <v>18.399999999999999</v>
      </c>
      <c r="C112" s="9">
        <f>C103*C19</f>
        <v>11.2</v>
      </c>
      <c r="D112" s="9">
        <f>D103*C20</f>
        <v>7.9499999999999993</v>
      </c>
      <c r="E112" s="9">
        <f>E103*C21</f>
        <v>11.6</v>
      </c>
      <c r="F112" s="9">
        <f>F103*C22</f>
        <v>8.52</v>
      </c>
      <c r="G112" s="9">
        <f>G103*C23</f>
        <v>4.32</v>
      </c>
      <c r="H112" s="9">
        <f>H103*C24</f>
        <v>7</v>
      </c>
      <c r="I112" s="9">
        <f>I103*C25</f>
        <v>6</v>
      </c>
      <c r="J112" s="9">
        <f>J103*C26</f>
        <v>7</v>
      </c>
      <c r="K112" s="9">
        <f>K103*C27</f>
        <v>6.8</v>
      </c>
      <c r="L112" s="9">
        <f>SUM(B112:K112)</f>
        <v>88.79</v>
      </c>
      <c r="M112" s="9">
        <f t="shared" si="14"/>
        <v>1</v>
      </c>
    </row>
  </sheetData>
  <phoneticPr fontId="1" type="noConversion"/>
  <conditionalFormatting sqref="K49">
    <cfRule type="duplicateValues" dxfId="6" priority="3"/>
  </conditionalFormatting>
  <conditionalFormatting sqref="K50">
    <cfRule type="duplicateValues" dxfId="5" priority="1"/>
  </conditionalFormatting>
  <conditionalFormatting sqref="K57:K5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P119"/>
  <sheetViews>
    <sheetView tabSelected="1" topLeftCell="A106" zoomScale="99" zoomScaleNormal="123" workbookViewId="0">
      <selection activeCell="L125" sqref="L125"/>
    </sheetView>
  </sheetViews>
  <sheetFormatPr defaultRowHeight="14.4" x14ac:dyDescent="0.3"/>
  <cols>
    <col min="1" max="1" width="19.6640625" customWidth="1"/>
    <col min="2" max="2" width="18.77734375" customWidth="1"/>
    <col min="3" max="3" width="13.21875" customWidth="1"/>
    <col min="4" max="4" width="20.44140625" customWidth="1"/>
    <col min="5" max="5" width="18.44140625" customWidth="1"/>
    <col min="6" max="6" width="17.6640625" customWidth="1"/>
    <col min="7" max="7" width="17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4" max="14" width="18.44140625" customWidth="1"/>
    <col min="15" max="15" width="22.21875" customWidth="1"/>
    <col min="16" max="16" width="33.109375" customWidth="1"/>
    <col min="20" max="20" width="17.44140625" customWidth="1"/>
  </cols>
  <sheetData>
    <row r="1" spans="1:16" x14ac:dyDescent="0.3">
      <c r="A1" t="s">
        <v>172</v>
      </c>
      <c r="E1" t="s">
        <v>187</v>
      </c>
    </row>
    <row r="2" spans="1:16" x14ac:dyDescent="0.3">
      <c r="A2" s="9" t="s">
        <v>173</v>
      </c>
      <c r="B2" s="9" t="s">
        <v>196</v>
      </c>
    </row>
    <row r="3" spans="1:16" x14ac:dyDescent="0.3">
      <c r="A3" s="9" t="s">
        <v>19</v>
      </c>
      <c r="B3" s="17" t="s">
        <v>3</v>
      </c>
      <c r="E3" t="s">
        <v>19</v>
      </c>
      <c r="F3" t="s">
        <v>3</v>
      </c>
      <c r="J3" t="s">
        <v>22</v>
      </c>
      <c r="K3" t="s">
        <v>40</v>
      </c>
      <c r="N3" t="s">
        <v>25</v>
      </c>
      <c r="O3" t="s">
        <v>5</v>
      </c>
    </row>
    <row r="4" spans="1:16" x14ac:dyDescent="0.3">
      <c r="A4" s="9" t="s">
        <v>20</v>
      </c>
      <c r="B4" s="17" t="s">
        <v>30</v>
      </c>
      <c r="F4" t="s">
        <v>29</v>
      </c>
      <c r="G4" t="s">
        <v>11</v>
      </c>
      <c r="J4" t="s">
        <v>29</v>
      </c>
      <c r="K4" t="s">
        <v>196</v>
      </c>
      <c r="L4" t="s">
        <v>11</v>
      </c>
      <c r="O4" t="s">
        <v>29</v>
      </c>
      <c r="P4" t="s">
        <v>11</v>
      </c>
    </row>
    <row r="5" spans="1:16" ht="28.8" x14ac:dyDescent="0.3">
      <c r="A5" s="9" t="s">
        <v>21</v>
      </c>
      <c r="B5" s="17" t="s">
        <v>1</v>
      </c>
      <c r="F5" t="s">
        <v>267</v>
      </c>
      <c r="G5">
        <v>1</v>
      </c>
      <c r="J5" s="3" t="s">
        <v>283</v>
      </c>
      <c r="K5" s="3" t="s">
        <v>279</v>
      </c>
      <c r="L5">
        <v>1</v>
      </c>
      <c r="O5" t="s">
        <v>292</v>
      </c>
      <c r="P5">
        <v>1</v>
      </c>
    </row>
    <row r="6" spans="1:16" ht="57.6" x14ac:dyDescent="0.3">
      <c r="A6" s="9" t="s">
        <v>22</v>
      </c>
      <c r="B6" s="17" t="s">
        <v>85</v>
      </c>
      <c r="F6" t="s">
        <v>268</v>
      </c>
      <c r="G6">
        <v>2</v>
      </c>
      <c r="J6" s="3" t="s">
        <v>284</v>
      </c>
      <c r="K6" s="3" t="s">
        <v>280</v>
      </c>
      <c r="L6">
        <v>2</v>
      </c>
      <c r="O6" s="3" t="s">
        <v>293</v>
      </c>
      <c r="P6" s="3">
        <v>2</v>
      </c>
    </row>
    <row r="7" spans="1:16" ht="57.6" x14ac:dyDescent="0.3">
      <c r="A7" s="9" t="s">
        <v>23</v>
      </c>
      <c r="B7" s="17" t="s">
        <v>4</v>
      </c>
      <c r="F7" t="s">
        <v>269</v>
      </c>
      <c r="G7">
        <v>3</v>
      </c>
      <c r="J7" s="3" t="s">
        <v>285</v>
      </c>
      <c r="K7" s="3" t="s">
        <v>281</v>
      </c>
      <c r="L7">
        <v>3</v>
      </c>
      <c r="O7" s="3" t="s">
        <v>295</v>
      </c>
      <c r="P7" s="3">
        <v>3</v>
      </c>
    </row>
    <row r="8" spans="1:16" ht="57.6" x14ac:dyDescent="0.3">
      <c r="A8" s="9" t="s">
        <v>24</v>
      </c>
      <c r="B8" s="17" t="s">
        <v>266</v>
      </c>
      <c r="F8" t="s">
        <v>270</v>
      </c>
      <c r="G8">
        <v>4</v>
      </c>
      <c r="J8" s="3" t="s">
        <v>286</v>
      </c>
      <c r="K8" s="3" t="s">
        <v>282</v>
      </c>
      <c r="L8">
        <v>4</v>
      </c>
      <c r="O8" s="3" t="s">
        <v>294</v>
      </c>
      <c r="P8" s="3">
        <v>4</v>
      </c>
    </row>
    <row r="9" spans="1:16" x14ac:dyDescent="0.3">
      <c r="A9" s="9" t="s">
        <v>25</v>
      </c>
      <c r="B9" s="17" t="s">
        <v>5</v>
      </c>
    </row>
    <row r="10" spans="1:16" x14ac:dyDescent="0.3">
      <c r="A10" s="9" t="s">
        <v>26</v>
      </c>
      <c r="B10" s="17" t="s">
        <v>230</v>
      </c>
    </row>
    <row r="11" spans="1:16" x14ac:dyDescent="0.3">
      <c r="A11" s="9" t="s">
        <v>27</v>
      </c>
      <c r="B11" s="17" t="s">
        <v>229</v>
      </c>
      <c r="E11" t="s">
        <v>20</v>
      </c>
      <c r="F11" s="1" t="s">
        <v>30</v>
      </c>
      <c r="J11" t="s">
        <v>23</v>
      </c>
      <c r="K11" t="s">
        <v>4</v>
      </c>
      <c r="N11" t="s">
        <v>26</v>
      </c>
      <c r="O11" t="s">
        <v>42</v>
      </c>
    </row>
    <row r="12" spans="1:16" x14ac:dyDescent="0.3">
      <c r="A12" s="9"/>
      <c r="B12" s="17"/>
      <c r="F12" t="s">
        <v>29</v>
      </c>
      <c r="G12" t="s">
        <v>11</v>
      </c>
      <c r="K12" t="s">
        <v>29</v>
      </c>
      <c r="L12" t="s">
        <v>11</v>
      </c>
      <c r="O12" t="s">
        <v>29</v>
      </c>
      <c r="P12" t="s">
        <v>11</v>
      </c>
    </row>
    <row r="13" spans="1:16" x14ac:dyDescent="0.3">
      <c r="B13" s="15"/>
      <c r="F13" t="s">
        <v>271</v>
      </c>
      <c r="G13">
        <v>1</v>
      </c>
      <c r="K13" t="s">
        <v>56</v>
      </c>
      <c r="L13">
        <v>1</v>
      </c>
      <c r="O13" t="s">
        <v>204</v>
      </c>
      <c r="P13">
        <v>3</v>
      </c>
    </row>
    <row r="14" spans="1:16" x14ac:dyDescent="0.3">
      <c r="B14" s="15"/>
      <c r="F14" t="s">
        <v>272</v>
      </c>
      <c r="G14">
        <v>2</v>
      </c>
      <c r="K14" t="s">
        <v>287</v>
      </c>
      <c r="L14">
        <v>2</v>
      </c>
      <c r="O14" t="s">
        <v>205</v>
      </c>
      <c r="P14">
        <v>7</v>
      </c>
    </row>
    <row r="15" spans="1:16" x14ac:dyDescent="0.3">
      <c r="A15" s="18" t="s">
        <v>171</v>
      </c>
      <c r="B15" s="15"/>
      <c r="F15" t="s">
        <v>273</v>
      </c>
      <c r="G15">
        <v>3</v>
      </c>
      <c r="K15" t="s">
        <v>58</v>
      </c>
      <c r="L15">
        <v>3</v>
      </c>
    </row>
    <row r="16" spans="1:16" x14ac:dyDescent="0.3">
      <c r="A16" s="9"/>
      <c r="B16" s="15"/>
      <c r="F16" t="s">
        <v>274</v>
      </c>
      <c r="G16">
        <v>4</v>
      </c>
      <c r="K16" t="s">
        <v>299</v>
      </c>
      <c r="L16">
        <v>4</v>
      </c>
    </row>
    <row r="17" spans="1:16" x14ac:dyDescent="0.3">
      <c r="A17" s="15" t="s">
        <v>173</v>
      </c>
      <c r="B17" s="15" t="s">
        <v>174</v>
      </c>
      <c r="C17" s="15" t="s">
        <v>11</v>
      </c>
      <c r="K17" s="3"/>
    </row>
    <row r="18" spans="1:16" x14ac:dyDescent="0.3">
      <c r="A18" s="9" t="s">
        <v>19</v>
      </c>
      <c r="B18" s="15" t="s">
        <v>175</v>
      </c>
      <c r="C18" s="15">
        <v>15</v>
      </c>
      <c r="N18" t="s">
        <v>27</v>
      </c>
      <c r="O18" t="s">
        <v>231</v>
      </c>
    </row>
    <row r="19" spans="1:16" x14ac:dyDescent="0.3">
      <c r="A19" s="9" t="s">
        <v>20</v>
      </c>
      <c r="B19" s="15" t="s">
        <v>176</v>
      </c>
      <c r="C19" s="15">
        <v>20</v>
      </c>
      <c r="O19" t="s">
        <v>29</v>
      </c>
      <c r="P19" t="s">
        <v>11</v>
      </c>
    </row>
    <row r="20" spans="1:16" x14ac:dyDescent="0.3">
      <c r="A20" s="9" t="s">
        <v>21</v>
      </c>
      <c r="B20" s="15" t="s">
        <v>177</v>
      </c>
      <c r="C20" s="15">
        <v>15</v>
      </c>
      <c r="O20" t="s">
        <v>232</v>
      </c>
      <c r="P20">
        <v>2</v>
      </c>
    </row>
    <row r="21" spans="1:16" x14ac:dyDescent="0.3">
      <c r="A21" s="9" t="s">
        <v>22</v>
      </c>
      <c r="B21" s="15" t="s">
        <v>178</v>
      </c>
      <c r="C21" s="15">
        <v>10</v>
      </c>
      <c r="E21" t="s">
        <v>21</v>
      </c>
      <c r="F21" t="s">
        <v>1</v>
      </c>
      <c r="J21" t="s">
        <v>24</v>
      </c>
      <c r="K21" t="s">
        <v>266</v>
      </c>
      <c r="O21" t="s">
        <v>233</v>
      </c>
      <c r="P21">
        <v>3</v>
      </c>
    </row>
    <row r="22" spans="1:16" x14ac:dyDescent="0.3">
      <c r="A22" s="9" t="s">
        <v>23</v>
      </c>
      <c r="B22" s="15" t="s">
        <v>179</v>
      </c>
      <c r="C22" s="15">
        <v>10</v>
      </c>
      <c r="F22" t="s">
        <v>39</v>
      </c>
      <c r="G22" t="s">
        <v>278</v>
      </c>
      <c r="H22" t="s">
        <v>11</v>
      </c>
      <c r="K22" t="s">
        <v>29</v>
      </c>
      <c r="L22" t="s">
        <v>11</v>
      </c>
      <c r="O22" t="s">
        <v>234</v>
      </c>
      <c r="P22">
        <v>5</v>
      </c>
    </row>
    <row r="23" spans="1:16" x14ac:dyDescent="0.3">
      <c r="A23" s="9" t="s">
        <v>24</v>
      </c>
      <c r="B23" s="15" t="s">
        <v>180</v>
      </c>
      <c r="C23" s="15">
        <v>5</v>
      </c>
      <c r="F23" t="s">
        <v>275</v>
      </c>
      <c r="G23" t="s">
        <v>279</v>
      </c>
      <c r="H23">
        <v>1</v>
      </c>
      <c r="K23" t="s">
        <v>288</v>
      </c>
      <c r="L23">
        <v>1</v>
      </c>
    </row>
    <row r="24" spans="1:16" ht="43.2" x14ac:dyDescent="0.3">
      <c r="A24" s="9" t="s">
        <v>25</v>
      </c>
      <c r="B24" s="15" t="s">
        <v>181</v>
      </c>
      <c r="C24" s="15">
        <v>5</v>
      </c>
      <c r="F24" s="3" t="s">
        <v>276</v>
      </c>
      <c r="G24" s="3" t="s">
        <v>280</v>
      </c>
      <c r="H24">
        <v>2</v>
      </c>
      <c r="K24" t="s">
        <v>289</v>
      </c>
      <c r="L24">
        <v>2</v>
      </c>
    </row>
    <row r="25" spans="1:16" ht="43.2" x14ac:dyDescent="0.3">
      <c r="A25" s="9" t="s">
        <v>26</v>
      </c>
      <c r="B25" s="15" t="s">
        <v>182</v>
      </c>
      <c r="C25" s="15">
        <v>5</v>
      </c>
      <c r="F25" s="3" t="s">
        <v>276</v>
      </c>
      <c r="G25" s="3" t="s">
        <v>281</v>
      </c>
      <c r="H25">
        <v>3</v>
      </c>
      <c r="K25" t="s">
        <v>290</v>
      </c>
      <c r="L25">
        <v>3</v>
      </c>
    </row>
    <row r="26" spans="1:16" ht="57.6" x14ac:dyDescent="0.3">
      <c r="A26" s="9" t="s">
        <v>27</v>
      </c>
      <c r="B26" s="15" t="s">
        <v>183</v>
      </c>
      <c r="C26" s="15">
        <v>15</v>
      </c>
      <c r="F26" s="3" t="s">
        <v>277</v>
      </c>
      <c r="G26" s="3" t="s">
        <v>282</v>
      </c>
      <c r="H26">
        <v>4</v>
      </c>
      <c r="K26" t="s">
        <v>291</v>
      </c>
      <c r="L26">
        <v>4</v>
      </c>
    </row>
    <row r="27" spans="1:16" x14ac:dyDescent="0.3">
      <c r="A27" s="9"/>
      <c r="B27" s="15"/>
      <c r="C27" s="15">
        <f>C18+C19+C20+C21+C22+C23+C24+C25+C26</f>
        <v>100</v>
      </c>
    </row>
    <row r="28" spans="1:16" x14ac:dyDescent="0.3">
      <c r="A28" s="4"/>
      <c r="B28" s="4"/>
      <c r="C28" s="4"/>
    </row>
    <row r="30" spans="1:16" x14ac:dyDescent="0.3">
      <c r="A30" s="18" t="s">
        <v>185</v>
      </c>
    </row>
    <row r="32" spans="1:16" x14ac:dyDescent="0.3">
      <c r="A32" s="15" t="s">
        <v>173</v>
      </c>
      <c r="B32" s="9" t="s">
        <v>186</v>
      </c>
    </row>
    <row r="33" spans="1:15" x14ac:dyDescent="0.3">
      <c r="A33" s="9" t="s">
        <v>19</v>
      </c>
      <c r="B33" s="9" t="s">
        <v>37</v>
      </c>
    </row>
    <row r="34" spans="1:15" x14ac:dyDescent="0.3">
      <c r="A34" s="9" t="s">
        <v>20</v>
      </c>
      <c r="B34" s="9" t="s">
        <v>37</v>
      </c>
    </row>
    <row r="35" spans="1:15" x14ac:dyDescent="0.3">
      <c r="A35" s="9" t="s">
        <v>21</v>
      </c>
      <c r="B35" s="9" t="s">
        <v>38</v>
      </c>
    </row>
    <row r="36" spans="1:15" x14ac:dyDescent="0.3">
      <c r="A36" s="9" t="s">
        <v>22</v>
      </c>
      <c r="B36" s="9" t="s">
        <v>38</v>
      </c>
    </row>
    <row r="37" spans="1:15" x14ac:dyDescent="0.3">
      <c r="A37" s="9" t="s">
        <v>23</v>
      </c>
      <c r="B37" s="9" t="s">
        <v>38</v>
      </c>
    </row>
    <row r="38" spans="1:15" x14ac:dyDescent="0.3">
      <c r="A38" s="9" t="s">
        <v>24</v>
      </c>
      <c r="B38" s="9" t="s">
        <v>38</v>
      </c>
      <c r="N38" s="3"/>
      <c r="O38" s="3"/>
    </row>
    <row r="39" spans="1:15" x14ac:dyDescent="0.3">
      <c r="A39" s="9" t="s">
        <v>25</v>
      </c>
      <c r="B39" s="9" t="s">
        <v>37</v>
      </c>
      <c r="N39" s="3"/>
      <c r="O39" s="3"/>
    </row>
    <row r="40" spans="1:15" x14ac:dyDescent="0.3">
      <c r="A40" s="9" t="s">
        <v>26</v>
      </c>
      <c r="B40" s="9" t="s">
        <v>38</v>
      </c>
      <c r="N40" s="3"/>
      <c r="O40" s="3"/>
    </row>
    <row r="41" spans="1:15" x14ac:dyDescent="0.3">
      <c r="A41" s="9" t="s">
        <v>27</v>
      </c>
      <c r="B41" s="9" t="s">
        <v>37</v>
      </c>
    </row>
    <row r="42" spans="1:15" x14ac:dyDescent="0.3">
      <c r="A42" s="9"/>
      <c r="B42" s="9"/>
    </row>
    <row r="46" spans="1:15" x14ac:dyDescent="0.3">
      <c r="A46" s="9" t="s">
        <v>188</v>
      </c>
    </row>
    <row r="47" spans="1:15" x14ac:dyDescent="0.3">
      <c r="A47" s="18"/>
    </row>
    <row r="48" spans="1:15" ht="28.8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85</v>
      </c>
      <c r="F48" s="16" t="s">
        <v>235</v>
      </c>
      <c r="G48" s="16" t="s">
        <v>4</v>
      </c>
      <c r="H48" s="16" t="s">
        <v>5</v>
      </c>
      <c r="I48" s="16" t="s">
        <v>42</v>
      </c>
      <c r="J48" s="16" t="s">
        <v>231</v>
      </c>
      <c r="K48" s="16" t="s">
        <v>146</v>
      </c>
      <c r="L48" s="16"/>
      <c r="M48" s="16"/>
    </row>
    <row r="49" spans="1:14" ht="57.6" x14ac:dyDescent="0.3">
      <c r="A49" s="16" t="s">
        <v>193</v>
      </c>
      <c r="B49" s="12" t="s">
        <v>236</v>
      </c>
      <c r="C49" s="12" t="s">
        <v>237</v>
      </c>
      <c r="D49" s="12" t="s">
        <v>238</v>
      </c>
      <c r="E49" s="12" t="s">
        <v>239</v>
      </c>
      <c r="F49" s="12" t="s">
        <v>100</v>
      </c>
      <c r="G49" s="12" t="s">
        <v>58</v>
      </c>
      <c r="H49" s="12" t="s">
        <v>240</v>
      </c>
      <c r="I49" s="12" t="s">
        <v>206</v>
      </c>
      <c r="J49" s="12" t="s">
        <v>241</v>
      </c>
      <c r="K49" s="12" t="s">
        <v>242</v>
      </c>
      <c r="L49" s="12"/>
      <c r="M49" s="12"/>
    </row>
    <row r="50" spans="1:14" ht="57.6" x14ac:dyDescent="0.3">
      <c r="A50" s="16" t="s">
        <v>194</v>
      </c>
      <c r="B50" s="12" t="s">
        <v>243</v>
      </c>
      <c r="C50" s="12" t="s">
        <v>237</v>
      </c>
      <c r="D50" s="12" t="s">
        <v>238</v>
      </c>
      <c r="E50" s="12" t="s">
        <v>244</v>
      </c>
      <c r="F50" s="12" t="s">
        <v>100</v>
      </c>
      <c r="G50" s="12" t="s">
        <v>245</v>
      </c>
      <c r="H50" s="12" t="s">
        <v>246</v>
      </c>
      <c r="I50" s="12" t="s">
        <v>247</v>
      </c>
      <c r="J50" s="12" t="s">
        <v>241</v>
      </c>
      <c r="K50" s="12" t="s">
        <v>242</v>
      </c>
      <c r="L50" s="12"/>
      <c r="M50" s="12"/>
    </row>
    <row r="51" spans="1:14" ht="57.6" x14ac:dyDescent="0.3">
      <c r="A51" s="16" t="s">
        <v>195</v>
      </c>
      <c r="B51" s="12" t="s">
        <v>248</v>
      </c>
      <c r="C51" s="12" t="s">
        <v>249</v>
      </c>
      <c r="D51" s="12" t="s">
        <v>238</v>
      </c>
      <c r="E51" s="12" t="s">
        <v>250</v>
      </c>
      <c r="F51" s="12" t="s">
        <v>100</v>
      </c>
      <c r="G51" s="12" t="s">
        <v>245</v>
      </c>
      <c r="H51" s="12" t="s">
        <v>251</v>
      </c>
      <c r="I51" s="12" t="s">
        <v>247</v>
      </c>
      <c r="J51" s="12" t="s">
        <v>241</v>
      </c>
      <c r="K51" s="12" t="s">
        <v>252</v>
      </c>
      <c r="L51" s="12"/>
      <c r="M51" s="12"/>
    </row>
    <row r="52" spans="1:14" ht="43.2" x14ac:dyDescent="0.3">
      <c r="A52" s="16" t="s">
        <v>253</v>
      </c>
      <c r="B52" s="12" t="s">
        <v>254</v>
      </c>
      <c r="C52" s="12" t="s">
        <v>249</v>
      </c>
      <c r="D52" s="12" t="s">
        <v>255</v>
      </c>
      <c r="E52" s="12" t="s">
        <v>256</v>
      </c>
      <c r="F52" s="12" t="s">
        <v>100</v>
      </c>
      <c r="G52" s="12" t="s">
        <v>257</v>
      </c>
      <c r="H52" s="12" t="s">
        <v>251</v>
      </c>
      <c r="I52" s="12" t="s">
        <v>247</v>
      </c>
      <c r="J52" s="12" t="s">
        <v>258</v>
      </c>
      <c r="K52" s="12" t="s">
        <v>242</v>
      </c>
    </row>
    <row r="53" spans="1:14" ht="43.2" x14ac:dyDescent="0.3">
      <c r="A53" s="16" t="s">
        <v>259</v>
      </c>
      <c r="B53" s="12" t="s">
        <v>260</v>
      </c>
      <c r="C53" s="12" t="s">
        <v>237</v>
      </c>
      <c r="D53" s="12" t="s">
        <v>261</v>
      </c>
      <c r="E53" s="12" t="s">
        <v>262</v>
      </c>
      <c r="F53" s="12" t="s">
        <v>100</v>
      </c>
      <c r="G53" s="12" t="s">
        <v>58</v>
      </c>
      <c r="H53" s="12" t="s">
        <v>246</v>
      </c>
      <c r="I53" s="12" t="s">
        <v>247</v>
      </c>
      <c r="J53" s="12" t="s">
        <v>241</v>
      </c>
      <c r="K53" s="12" t="s">
        <v>263</v>
      </c>
    </row>
    <row r="54" spans="1:14" ht="43.2" x14ac:dyDescent="0.3">
      <c r="A54" s="16" t="s">
        <v>264</v>
      </c>
      <c r="B54" s="12" t="s">
        <v>265</v>
      </c>
      <c r="C54" s="12" t="s">
        <v>237</v>
      </c>
      <c r="D54" s="12" t="s">
        <v>261</v>
      </c>
      <c r="E54" s="12" t="s">
        <v>256</v>
      </c>
      <c r="F54" s="12" t="s">
        <v>100</v>
      </c>
      <c r="G54" s="12" t="s">
        <v>245</v>
      </c>
      <c r="H54" s="12" t="s">
        <v>246</v>
      </c>
      <c r="I54" s="12" t="s">
        <v>247</v>
      </c>
      <c r="J54" s="12" t="s">
        <v>241</v>
      </c>
      <c r="K54" s="12" t="s">
        <v>252</v>
      </c>
    </row>
    <row r="56" spans="1:14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M56" s="9"/>
      <c r="N56" s="9"/>
    </row>
    <row r="57" spans="1:14" ht="57.6" x14ac:dyDescent="0.3">
      <c r="A57" s="9" t="s">
        <v>193</v>
      </c>
      <c r="B57" s="7" t="s">
        <v>236</v>
      </c>
      <c r="C57" s="7" t="s">
        <v>242</v>
      </c>
      <c r="D57" s="7" t="s">
        <v>237</v>
      </c>
      <c r="E57" s="7" t="s">
        <v>238</v>
      </c>
      <c r="F57" s="7" t="s">
        <v>239</v>
      </c>
      <c r="G57" s="7" t="s">
        <v>58</v>
      </c>
      <c r="H57" s="7" t="s">
        <v>100</v>
      </c>
      <c r="I57" s="7" t="s">
        <v>240</v>
      </c>
      <c r="J57" s="7" t="s">
        <v>206</v>
      </c>
      <c r="K57" s="7" t="s">
        <v>241</v>
      </c>
      <c r="M57" s="9"/>
      <c r="N57" s="17"/>
    </row>
    <row r="58" spans="1:14" ht="57.6" x14ac:dyDescent="0.3">
      <c r="A58" s="9" t="s">
        <v>194</v>
      </c>
      <c r="B58" s="7" t="s">
        <v>243</v>
      </c>
      <c r="C58" s="7" t="s">
        <v>242</v>
      </c>
      <c r="D58" s="7" t="s">
        <v>237</v>
      </c>
      <c r="E58" s="7" t="s">
        <v>238</v>
      </c>
      <c r="F58" s="7" t="s">
        <v>244</v>
      </c>
      <c r="G58" s="7" t="s">
        <v>245</v>
      </c>
      <c r="H58" s="7" t="s">
        <v>100</v>
      </c>
      <c r="I58" s="7" t="s">
        <v>246</v>
      </c>
      <c r="J58" s="7" t="s">
        <v>247</v>
      </c>
      <c r="K58" s="7" t="s">
        <v>241</v>
      </c>
      <c r="M58" s="9"/>
      <c r="N58" s="17"/>
    </row>
    <row r="59" spans="1:14" ht="57.6" x14ac:dyDescent="0.3">
      <c r="A59" s="9" t="s">
        <v>195</v>
      </c>
      <c r="B59" s="7" t="s">
        <v>248</v>
      </c>
      <c r="C59" s="7" t="s">
        <v>252</v>
      </c>
      <c r="D59" s="7" t="s">
        <v>249</v>
      </c>
      <c r="E59" s="7" t="s">
        <v>238</v>
      </c>
      <c r="F59" s="7" t="s">
        <v>250</v>
      </c>
      <c r="G59" s="7" t="s">
        <v>245</v>
      </c>
      <c r="H59" s="7" t="s">
        <v>100</v>
      </c>
      <c r="I59" s="7" t="s">
        <v>251</v>
      </c>
      <c r="J59" s="7" t="s">
        <v>247</v>
      </c>
      <c r="K59" s="7" t="s">
        <v>241</v>
      </c>
      <c r="M59" s="9"/>
      <c r="N59" s="17"/>
    </row>
    <row r="60" spans="1:14" ht="43.2" x14ac:dyDescent="0.3">
      <c r="A60" s="9" t="s">
        <v>253</v>
      </c>
      <c r="B60" s="7" t="s">
        <v>254</v>
      </c>
      <c r="C60" s="7" t="s">
        <v>242</v>
      </c>
      <c r="D60" s="7" t="s">
        <v>249</v>
      </c>
      <c r="E60" s="7" t="s">
        <v>255</v>
      </c>
      <c r="F60" s="7" t="s">
        <v>256</v>
      </c>
      <c r="G60" s="7" t="s">
        <v>257</v>
      </c>
      <c r="H60" s="7" t="s">
        <v>100</v>
      </c>
      <c r="I60" s="7" t="s">
        <v>251</v>
      </c>
      <c r="J60" s="7" t="s">
        <v>247</v>
      </c>
      <c r="K60" s="7" t="s">
        <v>258</v>
      </c>
      <c r="M60" s="9"/>
      <c r="N60" s="17"/>
    </row>
    <row r="61" spans="1:14" ht="43.2" x14ac:dyDescent="0.3">
      <c r="A61" s="9" t="s">
        <v>259</v>
      </c>
      <c r="B61" s="7" t="s">
        <v>260</v>
      </c>
      <c r="C61" s="7" t="s">
        <v>263</v>
      </c>
      <c r="D61" s="7" t="s">
        <v>237</v>
      </c>
      <c r="E61" s="7" t="s">
        <v>261</v>
      </c>
      <c r="F61" s="7" t="s">
        <v>262</v>
      </c>
      <c r="G61" s="7" t="s">
        <v>58</v>
      </c>
      <c r="H61" s="7" t="s">
        <v>100</v>
      </c>
      <c r="I61" s="7" t="s">
        <v>246</v>
      </c>
      <c r="J61" s="7" t="s">
        <v>247</v>
      </c>
      <c r="K61" s="7" t="s">
        <v>241</v>
      </c>
      <c r="M61" s="9"/>
      <c r="N61" s="17"/>
    </row>
    <row r="62" spans="1:14" ht="43.2" x14ac:dyDescent="0.3">
      <c r="A62" s="9" t="s">
        <v>264</v>
      </c>
      <c r="B62" s="7" t="s">
        <v>265</v>
      </c>
      <c r="C62" s="7" t="s">
        <v>252</v>
      </c>
      <c r="D62" s="7" t="s">
        <v>237</v>
      </c>
      <c r="E62" s="7" t="s">
        <v>261</v>
      </c>
      <c r="F62" s="7" t="s">
        <v>256</v>
      </c>
      <c r="G62" s="7" t="s">
        <v>245</v>
      </c>
      <c r="H62" s="7" t="s">
        <v>100</v>
      </c>
      <c r="I62" s="7" t="s">
        <v>246</v>
      </c>
      <c r="J62" s="7" t="s">
        <v>247</v>
      </c>
      <c r="K62" s="7" t="s">
        <v>241</v>
      </c>
      <c r="M62" s="9"/>
      <c r="N62" s="17"/>
    </row>
    <row r="63" spans="1:14" x14ac:dyDescent="0.3">
      <c r="M63" s="9"/>
      <c r="N63" s="17"/>
    </row>
    <row r="64" spans="1:14" x14ac:dyDescent="0.3">
      <c r="A64" t="s">
        <v>207</v>
      </c>
      <c r="M64" s="9"/>
      <c r="N64" s="17"/>
    </row>
    <row r="65" spans="1:14" x14ac:dyDescent="0.3">
      <c r="M65" s="9"/>
      <c r="N65" s="17"/>
    </row>
    <row r="66" spans="1:14" x14ac:dyDescent="0.3">
      <c r="A66" s="9" t="s">
        <v>208</v>
      </c>
      <c r="B66" s="9" t="s">
        <v>19</v>
      </c>
      <c r="C66" s="9" t="s">
        <v>20</v>
      </c>
      <c r="D66" s="9" t="s">
        <v>21</v>
      </c>
      <c r="E66" s="9" t="s">
        <v>22</v>
      </c>
      <c r="F66" s="9" t="s">
        <v>23</v>
      </c>
      <c r="G66" s="9" t="s">
        <v>24</v>
      </c>
      <c r="H66" s="9" t="s">
        <v>25</v>
      </c>
      <c r="I66" s="9" t="s">
        <v>26</v>
      </c>
      <c r="J66" s="9" t="s">
        <v>27</v>
      </c>
      <c r="K66" s="9"/>
    </row>
    <row r="67" spans="1:14" x14ac:dyDescent="0.3">
      <c r="A67" s="9" t="s">
        <v>193</v>
      </c>
      <c r="B67" s="9">
        <v>1</v>
      </c>
      <c r="C67" s="9">
        <v>2</v>
      </c>
      <c r="D67" s="9">
        <v>4</v>
      </c>
      <c r="E67" s="9">
        <v>4</v>
      </c>
      <c r="F67" s="9">
        <v>3</v>
      </c>
      <c r="G67" s="9">
        <v>2</v>
      </c>
      <c r="H67" s="9">
        <v>4</v>
      </c>
      <c r="I67" s="9">
        <v>3</v>
      </c>
      <c r="J67" s="9">
        <v>2</v>
      </c>
      <c r="K67" s="9"/>
    </row>
    <row r="68" spans="1:14" x14ac:dyDescent="0.3">
      <c r="A68" s="9" t="s">
        <v>194</v>
      </c>
      <c r="B68" s="9">
        <v>1</v>
      </c>
      <c r="C68" s="9">
        <v>2</v>
      </c>
      <c r="D68" s="9">
        <v>4</v>
      </c>
      <c r="E68" s="9">
        <v>4</v>
      </c>
      <c r="F68" s="9">
        <v>4</v>
      </c>
      <c r="G68" s="9">
        <v>2</v>
      </c>
      <c r="H68" s="9">
        <v>1</v>
      </c>
      <c r="I68" s="9">
        <v>7</v>
      </c>
      <c r="J68" s="9">
        <v>2</v>
      </c>
      <c r="K68" s="9"/>
    </row>
    <row r="69" spans="1:14" x14ac:dyDescent="0.3">
      <c r="A69" s="9" t="s">
        <v>195</v>
      </c>
      <c r="B69" s="9">
        <v>3</v>
      </c>
      <c r="C69" s="9">
        <v>1</v>
      </c>
      <c r="D69" s="9">
        <v>4</v>
      </c>
      <c r="E69" s="9">
        <v>3</v>
      </c>
      <c r="F69" s="9">
        <v>4</v>
      </c>
      <c r="G69" s="9">
        <v>2</v>
      </c>
      <c r="H69" s="9">
        <v>2</v>
      </c>
      <c r="I69" s="9">
        <v>7</v>
      </c>
      <c r="J69" s="9">
        <v>2</v>
      </c>
      <c r="K69" s="9"/>
    </row>
    <row r="70" spans="1:14" x14ac:dyDescent="0.3">
      <c r="A70" s="9" t="s">
        <v>253</v>
      </c>
      <c r="B70" s="9">
        <v>1</v>
      </c>
      <c r="C70" s="9">
        <v>1</v>
      </c>
      <c r="D70" s="9">
        <v>3</v>
      </c>
      <c r="E70" s="9">
        <v>4</v>
      </c>
      <c r="F70" s="9">
        <v>1</v>
      </c>
      <c r="G70" s="9">
        <v>2</v>
      </c>
      <c r="H70" s="9">
        <v>2</v>
      </c>
      <c r="I70" s="9">
        <v>7</v>
      </c>
      <c r="J70" s="9">
        <v>3</v>
      </c>
      <c r="K70" s="9"/>
    </row>
    <row r="71" spans="1:14" x14ac:dyDescent="0.3">
      <c r="A71" s="9" t="s">
        <v>259</v>
      </c>
      <c r="B71" s="9">
        <v>2</v>
      </c>
      <c r="C71" s="9">
        <v>2</v>
      </c>
      <c r="D71" s="9">
        <v>3</v>
      </c>
      <c r="E71" s="9">
        <v>3</v>
      </c>
      <c r="F71" s="9">
        <v>3</v>
      </c>
      <c r="G71" s="9">
        <v>2</v>
      </c>
      <c r="H71" s="9">
        <v>1</v>
      </c>
      <c r="I71" s="9">
        <v>7</v>
      </c>
      <c r="J71" s="9">
        <v>2</v>
      </c>
      <c r="K71" s="9"/>
    </row>
    <row r="72" spans="1:14" x14ac:dyDescent="0.3">
      <c r="A72" s="9" t="s">
        <v>264</v>
      </c>
      <c r="B72" s="9">
        <v>3</v>
      </c>
      <c r="C72" s="9">
        <v>2</v>
      </c>
      <c r="D72" s="9">
        <v>3</v>
      </c>
      <c r="E72" s="9">
        <v>3</v>
      </c>
      <c r="F72" s="9">
        <v>4</v>
      </c>
      <c r="G72" s="9">
        <v>2</v>
      </c>
      <c r="H72" s="9">
        <v>1</v>
      </c>
      <c r="I72" s="9">
        <v>7</v>
      </c>
      <c r="J72" s="9">
        <v>2</v>
      </c>
      <c r="K72" s="9"/>
    </row>
    <row r="73" spans="1:14" x14ac:dyDescent="0.3">
      <c r="J73" s="9"/>
    </row>
    <row r="74" spans="1:14" x14ac:dyDescent="0.3">
      <c r="A74" s="18" t="s">
        <v>212</v>
      </c>
    </row>
    <row r="77" spans="1:14" x14ac:dyDescent="0.3">
      <c r="A77" t="s">
        <v>213</v>
      </c>
      <c r="E77" t="s">
        <v>296</v>
      </c>
      <c r="J77" t="s">
        <v>215</v>
      </c>
    </row>
    <row r="78" spans="1:14" x14ac:dyDescent="0.3">
      <c r="A78" t="s">
        <v>193</v>
      </c>
      <c r="B78">
        <f t="shared" ref="B78:B83" si="0">1/B67</f>
        <v>1</v>
      </c>
      <c r="E78" t="s">
        <v>193</v>
      </c>
      <c r="F78">
        <f>1/C67</f>
        <v>0.5</v>
      </c>
      <c r="J78" t="s">
        <v>193</v>
      </c>
      <c r="K78">
        <f>D67/4</f>
        <v>1</v>
      </c>
    </row>
    <row r="79" spans="1:14" x14ac:dyDescent="0.3">
      <c r="A79" t="s">
        <v>194</v>
      </c>
      <c r="B79">
        <f t="shared" si="0"/>
        <v>1</v>
      </c>
      <c r="E79" t="s">
        <v>194</v>
      </c>
      <c r="F79">
        <f t="shared" ref="F79:F83" si="1">1/C68</f>
        <v>0.5</v>
      </c>
      <c r="J79" t="s">
        <v>194</v>
      </c>
      <c r="K79">
        <f t="shared" ref="K79:K83" si="2">D68/4</f>
        <v>1</v>
      </c>
    </row>
    <row r="80" spans="1:14" x14ac:dyDescent="0.3">
      <c r="A80" t="s">
        <v>195</v>
      </c>
      <c r="B80" s="19">
        <f t="shared" si="0"/>
        <v>0.33333333333333331</v>
      </c>
      <c r="E80" t="s">
        <v>195</v>
      </c>
      <c r="F80">
        <f>1/C69</f>
        <v>1</v>
      </c>
      <c r="J80" t="s">
        <v>195</v>
      </c>
      <c r="K80">
        <f>D69/4</f>
        <v>1</v>
      </c>
    </row>
    <row r="81" spans="1:11" x14ac:dyDescent="0.3">
      <c r="A81" t="s">
        <v>253</v>
      </c>
      <c r="B81">
        <f t="shared" si="0"/>
        <v>1</v>
      </c>
      <c r="E81" t="s">
        <v>253</v>
      </c>
      <c r="F81">
        <f t="shared" si="1"/>
        <v>1</v>
      </c>
      <c r="J81" t="s">
        <v>253</v>
      </c>
      <c r="K81">
        <f>D70/4</f>
        <v>0.75</v>
      </c>
    </row>
    <row r="82" spans="1:11" x14ac:dyDescent="0.3">
      <c r="A82" t="s">
        <v>259</v>
      </c>
      <c r="B82">
        <f t="shared" si="0"/>
        <v>0.5</v>
      </c>
      <c r="E82" t="s">
        <v>259</v>
      </c>
      <c r="F82">
        <f t="shared" si="1"/>
        <v>0.5</v>
      </c>
      <c r="J82" t="s">
        <v>259</v>
      </c>
      <c r="K82">
        <f t="shared" si="2"/>
        <v>0.75</v>
      </c>
    </row>
    <row r="83" spans="1:11" x14ac:dyDescent="0.3">
      <c r="A83" t="s">
        <v>264</v>
      </c>
      <c r="B83" s="19">
        <f t="shared" si="0"/>
        <v>0.33333333333333331</v>
      </c>
      <c r="E83" t="s">
        <v>264</v>
      </c>
      <c r="F83">
        <f t="shared" si="1"/>
        <v>0.5</v>
      </c>
      <c r="J83" t="s">
        <v>264</v>
      </c>
      <c r="K83">
        <f t="shared" si="2"/>
        <v>0.75</v>
      </c>
    </row>
    <row r="85" spans="1:11" x14ac:dyDescent="0.3">
      <c r="A85" t="s">
        <v>300</v>
      </c>
      <c r="E85" t="s">
        <v>217</v>
      </c>
      <c r="J85" t="s">
        <v>301</v>
      </c>
    </row>
    <row r="86" spans="1:11" x14ac:dyDescent="0.3">
      <c r="A86" t="s">
        <v>193</v>
      </c>
      <c r="B86">
        <f>E67/4</f>
        <v>1</v>
      </c>
      <c r="E86" t="s">
        <v>193</v>
      </c>
      <c r="F86">
        <f>F67/4</f>
        <v>0.75</v>
      </c>
      <c r="J86" t="s">
        <v>193</v>
      </c>
      <c r="K86">
        <f>G67/3</f>
        <v>0.66666666666666663</v>
      </c>
    </row>
    <row r="87" spans="1:11" x14ac:dyDescent="0.3">
      <c r="A87" t="s">
        <v>194</v>
      </c>
      <c r="B87">
        <f>E68/4</f>
        <v>1</v>
      </c>
      <c r="E87" t="s">
        <v>194</v>
      </c>
      <c r="F87">
        <f>F68/4</f>
        <v>1</v>
      </c>
      <c r="J87" t="s">
        <v>194</v>
      </c>
      <c r="K87">
        <f t="shared" ref="K87:K91" si="3">G68/3</f>
        <v>0.66666666666666663</v>
      </c>
    </row>
    <row r="88" spans="1:11" x14ac:dyDescent="0.3">
      <c r="A88" t="s">
        <v>195</v>
      </c>
      <c r="B88">
        <f>E69/4</f>
        <v>0.75</v>
      </c>
      <c r="E88" t="s">
        <v>195</v>
      </c>
      <c r="F88">
        <f t="shared" ref="F88:F91" si="4">F69/4</f>
        <v>1</v>
      </c>
      <c r="J88" t="s">
        <v>195</v>
      </c>
      <c r="K88">
        <f t="shared" si="3"/>
        <v>0.66666666666666663</v>
      </c>
    </row>
    <row r="89" spans="1:11" x14ac:dyDescent="0.3">
      <c r="A89" t="s">
        <v>253</v>
      </c>
      <c r="B89">
        <f>E70/4</f>
        <v>1</v>
      </c>
      <c r="E89" t="s">
        <v>253</v>
      </c>
      <c r="F89">
        <f>F70/4</f>
        <v>0.25</v>
      </c>
      <c r="J89" t="s">
        <v>253</v>
      </c>
      <c r="K89">
        <f t="shared" si="3"/>
        <v>0.66666666666666663</v>
      </c>
    </row>
    <row r="90" spans="1:11" x14ac:dyDescent="0.3">
      <c r="A90" t="s">
        <v>259</v>
      </c>
      <c r="B90">
        <f>E71/4</f>
        <v>0.75</v>
      </c>
      <c r="E90" t="s">
        <v>259</v>
      </c>
      <c r="F90">
        <f>F71/4</f>
        <v>0.75</v>
      </c>
      <c r="J90" t="s">
        <v>259</v>
      </c>
      <c r="K90">
        <f t="shared" si="3"/>
        <v>0.66666666666666663</v>
      </c>
    </row>
    <row r="91" spans="1:11" x14ac:dyDescent="0.3">
      <c r="A91" t="s">
        <v>264</v>
      </c>
      <c r="B91">
        <f t="shared" ref="B91" si="5">E72/4</f>
        <v>0.75</v>
      </c>
      <c r="E91" t="s">
        <v>264</v>
      </c>
      <c r="F91">
        <f t="shared" si="4"/>
        <v>1</v>
      </c>
      <c r="J91" t="s">
        <v>264</v>
      </c>
      <c r="K91">
        <f t="shared" si="3"/>
        <v>0.66666666666666663</v>
      </c>
    </row>
    <row r="93" spans="1:11" x14ac:dyDescent="0.3">
      <c r="A93" t="s">
        <v>297</v>
      </c>
      <c r="E93" t="s">
        <v>220</v>
      </c>
      <c r="J93" t="s">
        <v>298</v>
      </c>
    </row>
    <row r="94" spans="1:11" x14ac:dyDescent="0.3">
      <c r="A94" t="s">
        <v>193</v>
      </c>
      <c r="B94">
        <f>1/H67</f>
        <v>0.25</v>
      </c>
      <c r="E94" t="s">
        <v>193</v>
      </c>
      <c r="F94" s="19">
        <f>I67/7</f>
        <v>0.42857142857142855</v>
      </c>
      <c r="G94" s="19"/>
      <c r="J94" t="s">
        <v>193</v>
      </c>
      <c r="K94" s="23">
        <f>2/J67</f>
        <v>1</v>
      </c>
    </row>
    <row r="95" spans="1:11" x14ac:dyDescent="0.3">
      <c r="A95" t="s">
        <v>194</v>
      </c>
      <c r="B95">
        <f>1/H68</f>
        <v>1</v>
      </c>
      <c r="E95" t="s">
        <v>194</v>
      </c>
      <c r="F95" s="23">
        <f>I68/7</f>
        <v>1</v>
      </c>
      <c r="G95" s="19"/>
      <c r="J95" t="s">
        <v>194</v>
      </c>
      <c r="K95" s="23">
        <f>2/J68</f>
        <v>1</v>
      </c>
    </row>
    <row r="96" spans="1:11" x14ac:dyDescent="0.3">
      <c r="A96" t="s">
        <v>195</v>
      </c>
      <c r="B96">
        <f>1/H69</f>
        <v>0.5</v>
      </c>
      <c r="E96" t="s">
        <v>195</v>
      </c>
      <c r="F96" s="23">
        <f t="shared" ref="F96:F99" si="6">I69/7</f>
        <v>1</v>
      </c>
      <c r="J96" t="s">
        <v>195</v>
      </c>
      <c r="K96" s="23">
        <f t="shared" ref="K96" si="7">2/J69</f>
        <v>1</v>
      </c>
    </row>
    <row r="97" spans="1:12" x14ac:dyDescent="0.3">
      <c r="A97" t="s">
        <v>253</v>
      </c>
      <c r="B97">
        <f>1/H70</f>
        <v>0.5</v>
      </c>
      <c r="E97" t="s">
        <v>253</v>
      </c>
      <c r="F97" s="23">
        <f t="shared" si="6"/>
        <v>1</v>
      </c>
      <c r="J97" t="s">
        <v>253</v>
      </c>
      <c r="K97" s="19">
        <f>2/J70</f>
        <v>0.66666666666666663</v>
      </c>
    </row>
    <row r="98" spans="1:12" x14ac:dyDescent="0.3">
      <c r="A98" t="s">
        <v>259</v>
      </c>
      <c r="B98">
        <f>1/H71</f>
        <v>1</v>
      </c>
      <c r="E98" t="s">
        <v>259</v>
      </c>
      <c r="F98" s="23">
        <f t="shared" si="6"/>
        <v>1</v>
      </c>
      <c r="J98" t="s">
        <v>259</v>
      </c>
      <c r="K98" s="23">
        <f t="shared" ref="K98:K99" si="8">2/J71</f>
        <v>1</v>
      </c>
    </row>
    <row r="99" spans="1:12" x14ac:dyDescent="0.3">
      <c r="A99" t="s">
        <v>264</v>
      </c>
      <c r="B99">
        <f t="shared" ref="B99" si="9">1/H72</f>
        <v>1</v>
      </c>
      <c r="E99" t="s">
        <v>264</v>
      </c>
      <c r="F99" s="23">
        <f t="shared" si="6"/>
        <v>1</v>
      </c>
      <c r="J99" t="s">
        <v>264</v>
      </c>
      <c r="K99" s="23">
        <f t="shared" si="8"/>
        <v>1</v>
      </c>
    </row>
    <row r="100" spans="1:12" x14ac:dyDescent="0.3">
      <c r="F100" s="19"/>
      <c r="K100" s="19"/>
    </row>
    <row r="101" spans="1:12" x14ac:dyDescent="0.3">
      <c r="A101" t="s">
        <v>223</v>
      </c>
    </row>
    <row r="103" spans="1:12" x14ac:dyDescent="0.3">
      <c r="A103" s="9" t="s">
        <v>208</v>
      </c>
      <c r="B103" s="9" t="s">
        <v>19</v>
      </c>
      <c r="C103" s="9" t="s">
        <v>20</v>
      </c>
      <c r="D103" s="9" t="s">
        <v>21</v>
      </c>
      <c r="E103" s="9" t="s">
        <v>22</v>
      </c>
      <c r="F103" s="9" t="s">
        <v>23</v>
      </c>
      <c r="G103" s="9" t="s">
        <v>24</v>
      </c>
      <c r="H103" s="9" t="s">
        <v>25</v>
      </c>
      <c r="I103" s="9" t="s">
        <v>26</v>
      </c>
      <c r="J103" s="9" t="s">
        <v>27</v>
      </c>
      <c r="L103" s="9"/>
    </row>
    <row r="104" spans="1:12" x14ac:dyDescent="0.3">
      <c r="A104" s="9" t="s">
        <v>193</v>
      </c>
      <c r="B104" s="9">
        <f>B78</f>
        <v>1</v>
      </c>
      <c r="C104" s="9">
        <f>F78</f>
        <v>0.5</v>
      </c>
      <c r="D104" s="9">
        <f>K78</f>
        <v>1</v>
      </c>
      <c r="E104" s="9">
        <f>B86</f>
        <v>1</v>
      </c>
      <c r="F104" s="9">
        <f>F86</f>
        <v>0.75</v>
      </c>
      <c r="G104" s="20">
        <f>K86</f>
        <v>0.66666666666666663</v>
      </c>
      <c r="H104" s="9">
        <f>B94</f>
        <v>0.25</v>
      </c>
      <c r="I104" s="20">
        <f>F94</f>
        <v>0.42857142857142855</v>
      </c>
      <c r="J104" s="20">
        <f>K94</f>
        <v>1</v>
      </c>
      <c r="L104" s="20"/>
    </row>
    <row r="105" spans="1:12" x14ac:dyDescent="0.3">
      <c r="A105" s="9" t="s">
        <v>194</v>
      </c>
      <c r="B105" s="9">
        <f>B79</f>
        <v>1</v>
      </c>
      <c r="C105" s="9">
        <f>F79</f>
        <v>0.5</v>
      </c>
      <c r="D105" s="9">
        <f>K79</f>
        <v>1</v>
      </c>
      <c r="E105" s="9">
        <f>B87</f>
        <v>1</v>
      </c>
      <c r="F105" s="9">
        <f>F87</f>
        <v>1</v>
      </c>
      <c r="G105" s="20">
        <f>K87</f>
        <v>0.66666666666666663</v>
      </c>
      <c r="H105" s="9">
        <f>B95</f>
        <v>1</v>
      </c>
      <c r="I105" s="20">
        <f>F95</f>
        <v>1</v>
      </c>
      <c r="J105" s="20">
        <f>K95</f>
        <v>1</v>
      </c>
      <c r="L105" s="20"/>
    </row>
    <row r="106" spans="1:12" x14ac:dyDescent="0.3">
      <c r="A106" s="9" t="s">
        <v>195</v>
      </c>
      <c r="B106" s="20">
        <f>B80</f>
        <v>0.33333333333333331</v>
      </c>
      <c r="C106" s="9">
        <f>F80</f>
        <v>1</v>
      </c>
      <c r="D106" s="9">
        <f>K80</f>
        <v>1</v>
      </c>
      <c r="E106" s="9">
        <f>B88</f>
        <v>0.75</v>
      </c>
      <c r="F106" s="9">
        <f>F88</f>
        <v>1</v>
      </c>
      <c r="G106" s="20">
        <f>K88</f>
        <v>0.66666666666666663</v>
      </c>
      <c r="H106" s="9">
        <f>B96</f>
        <v>0.5</v>
      </c>
      <c r="I106" s="9">
        <f>F96</f>
        <v>1</v>
      </c>
      <c r="J106" s="9">
        <f>K96</f>
        <v>1</v>
      </c>
      <c r="L106" s="9"/>
    </row>
    <row r="107" spans="1:12" x14ac:dyDescent="0.3">
      <c r="A107" s="9" t="s">
        <v>253</v>
      </c>
      <c r="B107" s="22">
        <f>B81</f>
        <v>1</v>
      </c>
      <c r="C107" s="9">
        <f t="shared" ref="C107:C109" si="10">F81</f>
        <v>1</v>
      </c>
      <c r="D107" s="9">
        <f t="shared" ref="D107:D109" si="11">K81</f>
        <v>0.75</v>
      </c>
      <c r="E107" s="9">
        <f t="shared" ref="E107:E109" si="12">B89</f>
        <v>1</v>
      </c>
      <c r="F107" s="9">
        <f t="shared" ref="F107:F109" si="13">F89</f>
        <v>0.25</v>
      </c>
      <c r="G107" s="20">
        <f t="shared" ref="G107:G109" si="14">K89</f>
        <v>0.66666666666666663</v>
      </c>
      <c r="H107" s="9">
        <f t="shared" ref="H107:H109" si="15">B97</f>
        <v>0.5</v>
      </c>
      <c r="I107" s="9">
        <f t="shared" ref="I107:I109" si="16">F97</f>
        <v>1</v>
      </c>
      <c r="J107" s="20">
        <f t="shared" ref="J107:J109" si="17">K97</f>
        <v>0.66666666666666663</v>
      </c>
      <c r="K107" s="9"/>
      <c r="L107" s="9"/>
    </row>
    <row r="108" spans="1:12" x14ac:dyDescent="0.3">
      <c r="A108" s="9" t="s">
        <v>259</v>
      </c>
      <c r="B108" s="20">
        <f>B82</f>
        <v>0.5</v>
      </c>
      <c r="C108" s="9">
        <f t="shared" si="10"/>
        <v>0.5</v>
      </c>
      <c r="D108" s="9">
        <f t="shared" si="11"/>
        <v>0.75</v>
      </c>
      <c r="E108" s="9">
        <f t="shared" si="12"/>
        <v>0.75</v>
      </c>
      <c r="F108" s="9">
        <f t="shared" si="13"/>
        <v>0.75</v>
      </c>
      <c r="G108" s="20">
        <f t="shared" si="14"/>
        <v>0.66666666666666663</v>
      </c>
      <c r="H108" s="9">
        <f t="shared" si="15"/>
        <v>1</v>
      </c>
      <c r="I108" s="9">
        <f t="shared" si="16"/>
        <v>1</v>
      </c>
      <c r="J108" s="9">
        <f t="shared" si="17"/>
        <v>1</v>
      </c>
    </row>
    <row r="109" spans="1:12" x14ac:dyDescent="0.3">
      <c r="A109" s="9" t="s">
        <v>264</v>
      </c>
      <c r="B109" s="20">
        <f t="shared" ref="B109" si="18">B83</f>
        <v>0.33333333333333331</v>
      </c>
      <c r="C109" s="9">
        <f t="shared" si="10"/>
        <v>0.5</v>
      </c>
      <c r="D109" s="9">
        <f t="shared" si="11"/>
        <v>0.75</v>
      </c>
      <c r="E109" s="9">
        <f t="shared" si="12"/>
        <v>0.75</v>
      </c>
      <c r="F109" s="9">
        <f t="shared" si="13"/>
        <v>1</v>
      </c>
      <c r="G109" s="20">
        <f t="shared" si="14"/>
        <v>0.66666666666666663</v>
      </c>
      <c r="H109" s="9">
        <f t="shared" si="15"/>
        <v>1</v>
      </c>
      <c r="I109" s="9">
        <f t="shared" si="16"/>
        <v>1</v>
      </c>
      <c r="J109" s="9">
        <f t="shared" si="17"/>
        <v>1</v>
      </c>
    </row>
    <row r="111" spans="1:12" x14ac:dyDescent="0.3">
      <c r="A111" t="s">
        <v>224</v>
      </c>
    </row>
    <row r="113" spans="1:14" x14ac:dyDescent="0.3">
      <c r="A113" s="9" t="s">
        <v>208</v>
      </c>
      <c r="B113" s="9" t="s">
        <v>19</v>
      </c>
      <c r="C113" s="9" t="s">
        <v>20</v>
      </c>
      <c r="D113" s="9" t="s">
        <v>21</v>
      </c>
      <c r="E113" s="9" t="s">
        <v>22</v>
      </c>
      <c r="F113" s="9" t="s">
        <v>23</v>
      </c>
      <c r="G113" s="9" t="s">
        <v>24</v>
      </c>
      <c r="H113" s="9" t="s">
        <v>25</v>
      </c>
      <c r="I113" s="9" t="s">
        <v>26</v>
      </c>
      <c r="J113" s="9" t="s">
        <v>27</v>
      </c>
      <c r="K113" s="9" t="s">
        <v>225</v>
      </c>
      <c r="L113" s="9" t="s">
        <v>226</v>
      </c>
    </row>
    <row r="114" spans="1:14" x14ac:dyDescent="0.3">
      <c r="A114" s="9" t="s">
        <v>193</v>
      </c>
      <c r="B114" s="9">
        <f>B104*C18</f>
        <v>15</v>
      </c>
      <c r="C114" s="9">
        <f>C104*C19</f>
        <v>10</v>
      </c>
      <c r="D114" s="9">
        <f>D104*C20</f>
        <v>15</v>
      </c>
      <c r="E114" s="9">
        <f>E104*C21</f>
        <v>10</v>
      </c>
      <c r="F114" s="9">
        <f>F104*C22</f>
        <v>7.5</v>
      </c>
      <c r="G114" s="20">
        <f>G104*C23</f>
        <v>3.333333333333333</v>
      </c>
      <c r="H114" s="9">
        <f>H104*C24</f>
        <v>1.25</v>
      </c>
      <c r="I114" s="20">
        <f>I104*C25</f>
        <v>2.1428571428571428</v>
      </c>
      <c r="J114" s="20">
        <f>J104*C26</f>
        <v>15</v>
      </c>
      <c r="K114" s="20">
        <f>SUM(B114:J114)</f>
        <v>79.226190476190482</v>
      </c>
      <c r="L114" s="9">
        <f t="shared" ref="L114:L119" si="19">RANK(K114, $K$114:$K$119, 0)</f>
        <v>4</v>
      </c>
    </row>
    <row r="115" spans="1:14" x14ac:dyDescent="0.3">
      <c r="A115" s="9" t="s">
        <v>194</v>
      </c>
      <c r="B115" s="9">
        <f>B105*C18</f>
        <v>15</v>
      </c>
      <c r="C115" s="9">
        <f>C105*C19</f>
        <v>10</v>
      </c>
      <c r="D115" s="9">
        <f>D105*C20</f>
        <v>15</v>
      </c>
      <c r="E115" s="9">
        <f>E105*C21</f>
        <v>10</v>
      </c>
      <c r="F115" s="9">
        <f>F105*C22</f>
        <v>10</v>
      </c>
      <c r="G115" s="20">
        <f>G105*C23</f>
        <v>3.333333333333333</v>
      </c>
      <c r="H115" s="9">
        <f>H105*C24</f>
        <v>5</v>
      </c>
      <c r="I115" s="9">
        <f>I105*C25</f>
        <v>5</v>
      </c>
      <c r="J115" s="20">
        <f>J105*C26</f>
        <v>15</v>
      </c>
      <c r="K115" s="20">
        <f>SUM(B115:J115)</f>
        <v>88.333333333333343</v>
      </c>
      <c r="L115" s="9">
        <f t="shared" si="19"/>
        <v>1</v>
      </c>
    </row>
    <row r="116" spans="1:14" x14ac:dyDescent="0.3">
      <c r="A116" s="9" t="s">
        <v>195</v>
      </c>
      <c r="B116" s="9">
        <f>B106*C18</f>
        <v>5</v>
      </c>
      <c r="C116" s="9">
        <f>C106*C19</f>
        <v>20</v>
      </c>
      <c r="D116" s="9">
        <f>D106*C20</f>
        <v>15</v>
      </c>
      <c r="E116" s="9">
        <f>E106*C21</f>
        <v>7.5</v>
      </c>
      <c r="F116" s="9">
        <f>F106*C22</f>
        <v>10</v>
      </c>
      <c r="G116" s="20">
        <f>G106*C23</f>
        <v>3.333333333333333</v>
      </c>
      <c r="H116" s="9">
        <f>H106*C24</f>
        <v>2.5</v>
      </c>
      <c r="I116" s="9">
        <f>I106*C25</f>
        <v>5</v>
      </c>
      <c r="J116" s="9">
        <f>J106*C26</f>
        <v>15</v>
      </c>
      <c r="K116" s="20">
        <f>SUM(B116:J116)</f>
        <v>83.333333333333343</v>
      </c>
      <c r="L116" s="9">
        <f t="shared" si="19"/>
        <v>2</v>
      </c>
    </row>
    <row r="117" spans="1:14" x14ac:dyDescent="0.3">
      <c r="A117" s="9" t="s">
        <v>253</v>
      </c>
      <c r="B117" s="9">
        <f>B107*C18</f>
        <v>15</v>
      </c>
      <c r="C117" s="9">
        <f>C107*C19</f>
        <v>20</v>
      </c>
      <c r="D117" s="9">
        <f>D107*C20</f>
        <v>11.25</v>
      </c>
      <c r="E117" s="9">
        <f>E107*C21</f>
        <v>10</v>
      </c>
      <c r="F117" s="9">
        <f>F107*C22</f>
        <v>2.5</v>
      </c>
      <c r="G117" s="20">
        <f>G107*C23</f>
        <v>3.333333333333333</v>
      </c>
      <c r="H117" s="9">
        <f>H107*C24</f>
        <v>2.5</v>
      </c>
      <c r="I117" s="9">
        <f>I107*C25</f>
        <v>5</v>
      </c>
      <c r="J117" s="20">
        <f>J107*C26</f>
        <v>10</v>
      </c>
      <c r="K117" s="20">
        <f t="shared" ref="K117:K119" si="20">SUM(B117:J117)</f>
        <v>79.583333333333343</v>
      </c>
      <c r="L117" s="9">
        <f t="shared" si="19"/>
        <v>3</v>
      </c>
      <c r="N117" s="9"/>
    </row>
    <row r="118" spans="1:14" x14ac:dyDescent="0.3">
      <c r="A118" s="9" t="s">
        <v>259</v>
      </c>
      <c r="B118" s="9">
        <f>B108*C18</f>
        <v>7.5</v>
      </c>
      <c r="C118" s="9">
        <f>C108*C19</f>
        <v>10</v>
      </c>
      <c r="D118" s="9">
        <f>D108*C20</f>
        <v>11.25</v>
      </c>
      <c r="E118" s="9">
        <f>E108*C21</f>
        <v>7.5</v>
      </c>
      <c r="F118" s="9">
        <f>F108*C22</f>
        <v>7.5</v>
      </c>
      <c r="G118" s="20">
        <f>G108*C23</f>
        <v>3.333333333333333</v>
      </c>
      <c r="H118" s="9">
        <f>H108*C24</f>
        <v>5</v>
      </c>
      <c r="I118" s="9">
        <f>I108*C25</f>
        <v>5</v>
      </c>
      <c r="J118" s="9">
        <f>J108*C26</f>
        <v>15</v>
      </c>
      <c r="K118" s="20">
        <f t="shared" si="20"/>
        <v>72.083333333333343</v>
      </c>
      <c r="L118" s="9">
        <f>RANK(K118, $K$114:$K$119, 0)</f>
        <v>5</v>
      </c>
    </row>
    <row r="119" spans="1:14" x14ac:dyDescent="0.3">
      <c r="A119" s="9" t="s">
        <v>264</v>
      </c>
      <c r="B119" s="9">
        <f>B109*C18</f>
        <v>5</v>
      </c>
      <c r="C119" s="9">
        <f>C109*19</f>
        <v>9.5</v>
      </c>
      <c r="D119" s="9">
        <f>D109*C20</f>
        <v>11.25</v>
      </c>
      <c r="E119" s="9">
        <f>E109*C21</f>
        <v>7.5</v>
      </c>
      <c r="F119" s="9">
        <f>F109*C22</f>
        <v>10</v>
      </c>
      <c r="G119" s="20">
        <f>G109*C23</f>
        <v>3.333333333333333</v>
      </c>
      <c r="H119" s="9">
        <f>H109*C24</f>
        <v>5</v>
      </c>
      <c r="I119" s="9">
        <f>I109*C25</f>
        <v>5</v>
      </c>
      <c r="J119" s="9">
        <f>J109*C26</f>
        <v>15</v>
      </c>
      <c r="K119" s="20">
        <f t="shared" si="20"/>
        <v>71.583333333333343</v>
      </c>
      <c r="L119" s="9">
        <f t="shared" si="19"/>
        <v>6</v>
      </c>
    </row>
  </sheetData>
  <phoneticPr fontId="1" type="noConversion"/>
  <conditionalFormatting sqref="L49">
    <cfRule type="duplicateValues" dxfId="3" priority="3"/>
  </conditionalFormatting>
  <conditionalFormatting sqref="L50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9D8EC-B5A1-466A-BFA2-9907A5A3DDF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93" zoomScale="88" workbookViewId="0">
      <selection activeCell="G101" sqref="G101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</row>
    <row r="21" spans="1:21" x14ac:dyDescent="0.3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</v>
      </c>
    </row>
    <row r="93" spans="1:10" x14ac:dyDescent="0.3">
      <c r="E93" t="s">
        <v>194</v>
      </c>
      <c r="F93" s="19">
        <f>K67/3</f>
        <v>0</v>
      </c>
    </row>
    <row r="94" spans="1:10" x14ac:dyDescent="0.3">
      <c r="E94" t="s">
        <v>195</v>
      </c>
      <c r="F94">
        <f t="shared" ref="F94" si="9">K68/3</f>
        <v>0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EACA8-BD40-42FD-A8BA-50E7DE06EFB6}">
  <dimension ref="A1:K7"/>
  <sheetViews>
    <sheetView topLeftCell="A4" zoomScale="85" workbookViewId="0">
      <selection sqref="A1:K7"/>
    </sheetView>
  </sheetViews>
  <sheetFormatPr defaultRowHeight="14.4" x14ac:dyDescent="0.3"/>
  <cols>
    <col min="3" max="3" width="15.5546875" customWidth="1"/>
    <col min="4" max="4" width="17.88671875" customWidth="1"/>
    <col min="5" max="5" width="23.88671875" customWidth="1"/>
    <col min="7" max="7" width="19.21875" customWidth="1"/>
    <col min="8" max="8" width="17.44140625" customWidth="1"/>
    <col min="9" max="9" width="13.88671875" customWidth="1"/>
    <col min="10" max="10" width="21.21875" customWidth="1"/>
    <col min="11" max="11" width="26.21875" customWidth="1"/>
  </cols>
  <sheetData>
    <row r="1" spans="1:11" ht="43.2" x14ac:dyDescent="0.3">
      <c r="A1" s="16" t="s">
        <v>77</v>
      </c>
      <c r="B1" s="16" t="s">
        <v>78</v>
      </c>
      <c r="C1" s="16" t="s">
        <v>144</v>
      </c>
      <c r="D1" s="16" t="s">
        <v>1</v>
      </c>
      <c r="E1" s="16" t="s">
        <v>85</v>
      </c>
      <c r="F1" s="16" t="s">
        <v>235</v>
      </c>
      <c r="G1" s="16" t="s">
        <v>4</v>
      </c>
      <c r="H1" s="16" t="s">
        <v>5</v>
      </c>
      <c r="I1" s="16" t="s">
        <v>42</v>
      </c>
      <c r="J1" s="16" t="s">
        <v>231</v>
      </c>
      <c r="K1" s="16" t="s">
        <v>146</v>
      </c>
    </row>
    <row r="2" spans="1:11" ht="57.6" x14ac:dyDescent="0.3">
      <c r="A2" s="21" t="s">
        <v>193</v>
      </c>
      <c r="B2" s="7" t="s">
        <v>236</v>
      </c>
      <c r="C2" s="7" t="s">
        <v>237</v>
      </c>
      <c r="D2" s="7" t="s">
        <v>238</v>
      </c>
      <c r="E2" s="7" t="s">
        <v>239</v>
      </c>
      <c r="F2" s="7" t="s">
        <v>100</v>
      </c>
      <c r="G2" s="7" t="s">
        <v>58</v>
      </c>
      <c r="H2" s="7" t="s">
        <v>240</v>
      </c>
      <c r="I2" s="7" t="s">
        <v>206</v>
      </c>
      <c r="J2" s="7" t="s">
        <v>241</v>
      </c>
      <c r="K2" s="7" t="s">
        <v>242</v>
      </c>
    </row>
    <row r="3" spans="1:11" ht="57.6" x14ac:dyDescent="0.3">
      <c r="A3" s="21" t="s">
        <v>194</v>
      </c>
      <c r="B3" s="7" t="s">
        <v>243</v>
      </c>
      <c r="C3" s="7" t="s">
        <v>237</v>
      </c>
      <c r="D3" s="7" t="s">
        <v>238</v>
      </c>
      <c r="E3" s="7" t="s">
        <v>244</v>
      </c>
      <c r="F3" s="7" t="s">
        <v>100</v>
      </c>
      <c r="G3" s="7" t="s">
        <v>245</v>
      </c>
      <c r="H3" s="7" t="s">
        <v>246</v>
      </c>
      <c r="I3" s="7" t="s">
        <v>247</v>
      </c>
      <c r="J3" s="7" t="s">
        <v>241</v>
      </c>
      <c r="K3" s="7" t="s">
        <v>242</v>
      </c>
    </row>
    <row r="4" spans="1:11" ht="57.6" x14ac:dyDescent="0.3">
      <c r="A4" s="21" t="s">
        <v>195</v>
      </c>
      <c r="B4" s="7" t="s">
        <v>248</v>
      </c>
      <c r="C4" s="7" t="s">
        <v>249</v>
      </c>
      <c r="D4" s="7" t="s">
        <v>238</v>
      </c>
      <c r="E4" s="7" t="s">
        <v>250</v>
      </c>
      <c r="F4" s="7" t="s">
        <v>100</v>
      </c>
      <c r="G4" s="7" t="s">
        <v>245</v>
      </c>
      <c r="H4" s="7" t="s">
        <v>251</v>
      </c>
      <c r="I4" s="7" t="s">
        <v>247</v>
      </c>
      <c r="J4" s="7" t="s">
        <v>241</v>
      </c>
      <c r="K4" s="7" t="s">
        <v>252</v>
      </c>
    </row>
    <row r="5" spans="1:11" ht="43.2" x14ac:dyDescent="0.3">
      <c r="A5" s="21" t="s">
        <v>253</v>
      </c>
      <c r="B5" s="7" t="s">
        <v>254</v>
      </c>
      <c r="C5" s="7" t="s">
        <v>249</v>
      </c>
      <c r="D5" s="7" t="s">
        <v>255</v>
      </c>
      <c r="E5" s="7" t="s">
        <v>256</v>
      </c>
      <c r="F5" s="7" t="s">
        <v>100</v>
      </c>
      <c r="G5" s="7" t="s">
        <v>257</v>
      </c>
      <c r="H5" s="7" t="s">
        <v>251</v>
      </c>
      <c r="I5" s="7" t="s">
        <v>247</v>
      </c>
      <c r="J5" s="7" t="s">
        <v>258</v>
      </c>
      <c r="K5" s="7" t="s">
        <v>242</v>
      </c>
    </row>
    <row r="6" spans="1:11" ht="43.2" x14ac:dyDescent="0.3">
      <c r="A6" s="21" t="s">
        <v>259</v>
      </c>
      <c r="B6" s="7" t="s">
        <v>260</v>
      </c>
      <c r="C6" s="7" t="s">
        <v>237</v>
      </c>
      <c r="D6" s="7" t="s">
        <v>261</v>
      </c>
      <c r="E6" s="7" t="s">
        <v>262</v>
      </c>
      <c r="F6" s="7" t="s">
        <v>100</v>
      </c>
      <c r="G6" s="7" t="s">
        <v>58</v>
      </c>
      <c r="H6" s="7" t="s">
        <v>246</v>
      </c>
      <c r="I6" s="7" t="s">
        <v>247</v>
      </c>
      <c r="J6" s="7" t="s">
        <v>241</v>
      </c>
      <c r="K6" s="7" t="s">
        <v>263</v>
      </c>
    </row>
    <row r="7" spans="1:11" ht="43.2" x14ac:dyDescent="0.3">
      <c r="A7" s="21" t="s">
        <v>264</v>
      </c>
      <c r="B7" s="7" t="s">
        <v>265</v>
      </c>
      <c r="C7" s="7" t="s">
        <v>237</v>
      </c>
      <c r="D7" s="7" t="s">
        <v>261</v>
      </c>
      <c r="E7" s="7" t="s">
        <v>256</v>
      </c>
      <c r="F7" s="7" t="s">
        <v>100</v>
      </c>
      <c r="G7" s="7" t="s">
        <v>245</v>
      </c>
      <c r="H7" s="7" t="s">
        <v>246</v>
      </c>
      <c r="I7" s="7" t="s">
        <v>247</v>
      </c>
      <c r="J7" s="7" t="s">
        <v>241</v>
      </c>
      <c r="K7" s="7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Ressponden</vt:lpstr>
      <vt:lpstr>Bobot Kriteria</vt:lpstr>
      <vt:lpstr>Studi Kasus for me</vt:lpstr>
      <vt:lpstr>Studi Kasus for jurnal</vt:lpstr>
      <vt:lpstr>Sheet1</vt:lpstr>
      <vt:lpstr>Hasil Bab 4</vt:lpstr>
      <vt:lpstr>tumbal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2025-11-11T22:52:23Z</dcterms:modified>
</cp:coreProperties>
</file>