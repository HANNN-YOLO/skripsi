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ULIAH\SEMESTER 7\PROPOSAL SKRIPSI\skripsi\"/>
    </mc:Choice>
  </mc:AlternateContent>
  <xr:revisionPtr revIDLastSave="0" documentId="13_ncr:1_{3932339F-29A1-4BA0-A255-CA3E85DE8AA9}" xr6:coauthVersionLast="47" xr6:coauthVersionMax="47" xr10:uidLastSave="{00000000-0000-0000-0000-000000000000}"/>
  <bookViews>
    <workbookView xWindow="-110" yWindow="-110" windowWidth="25820" windowHeight="15500" tabRatio="691" activeTab="3" xr2:uid="{901D0503-6946-40CA-8D36-37B156763246}"/>
  </bookViews>
  <sheets>
    <sheet name="Kost" sheetId="3" r:id="rId1"/>
    <sheet name="Ressponden" sheetId="1" r:id="rId2"/>
    <sheet name="Bobot Kriteria" sheetId="2" r:id="rId3"/>
    <sheet name="Studi Kasus for me" sheetId="4" r:id="rId4"/>
    <sheet name="Studi Kasus for jurnal" sheetId="8" r:id="rId5"/>
    <sheet name="Hasil Bab 4" sheetId="6" r:id="rId6"/>
    <sheet name="tumbal" sheetId="9" r:id="rId7"/>
    <sheet name="Metode Sample" sheetId="10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7" i="8" l="1"/>
  <c r="J42" i="8"/>
  <c r="J41" i="8"/>
  <c r="J40" i="8"/>
  <c r="J39" i="8"/>
  <c r="J38" i="8"/>
  <c r="J37" i="8"/>
  <c r="J36" i="8"/>
  <c r="J35" i="8"/>
  <c r="J34" i="8"/>
  <c r="J33" i="8"/>
  <c r="I42" i="8"/>
  <c r="I41" i="8"/>
  <c r="I40" i="8"/>
  <c r="I39" i="8"/>
  <c r="I38" i="8"/>
  <c r="I37" i="8"/>
  <c r="I36" i="8"/>
  <c r="I35" i="8"/>
  <c r="I34" i="8"/>
  <c r="I33" i="8"/>
  <c r="H42" i="8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D18" i="4"/>
  <c r="D19" i="4"/>
  <c r="D20" i="4"/>
  <c r="D21" i="4"/>
  <c r="D22" i="4"/>
  <c r="D23" i="4"/>
  <c r="D24" i="4"/>
  <c r="D25" i="4"/>
  <c r="D26" i="4"/>
  <c r="D27" i="4"/>
  <c r="D28" i="4"/>
  <c r="B83" i="8"/>
  <c r="B109" i="8" s="1"/>
  <c r="B119" i="8" s="1"/>
  <c r="B98" i="8"/>
  <c r="L108" i="8" s="1"/>
  <c r="L118" i="8" s="1"/>
  <c r="J90" i="8"/>
  <c r="J108" i="8" s="1"/>
  <c r="J118" i="8" s="1"/>
  <c r="B90" i="8"/>
  <c r="I108" i="8" s="1"/>
  <c r="I118" i="8" s="1"/>
  <c r="B82" i="8"/>
  <c r="B108" i="8" s="1"/>
  <c r="B118" i="8" s="1"/>
  <c r="O97" i="8"/>
  <c r="N107" i="8" s="1"/>
  <c r="N117" i="8" s="1"/>
  <c r="B97" i="8"/>
  <c r="L107" i="8" s="1"/>
  <c r="L117" i="8" s="1"/>
  <c r="J89" i="8"/>
  <c r="J107" i="8" s="1"/>
  <c r="J117" i="8" s="1"/>
  <c r="B89" i="8"/>
  <c r="I107" i="8" s="1"/>
  <c r="I117" i="8" s="1"/>
  <c r="O81" i="8"/>
  <c r="F107" i="8" s="1"/>
  <c r="F117" i="8" s="1"/>
  <c r="B81" i="8"/>
  <c r="B107" i="8" s="1"/>
  <c r="B117" i="8" s="1"/>
  <c r="B88" i="8"/>
  <c r="I106" i="8"/>
  <c r="I116" i="8" s="1"/>
  <c r="B96" i="8"/>
  <c r="L106" i="8" s="1"/>
  <c r="L116" i="8" s="1"/>
  <c r="J88" i="8"/>
  <c r="J106" i="8" s="1"/>
  <c r="J116" i="8" s="1"/>
  <c r="O80" i="8"/>
  <c r="J80" i="8"/>
  <c r="B80" i="8"/>
  <c r="B106" i="8" s="1"/>
  <c r="B116" i="8" s="1"/>
  <c r="O95" i="8"/>
  <c r="N105" i="8" s="1"/>
  <c r="N115" i="8" s="1"/>
  <c r="J95" i="8"/>
  <c r="M105" i="8" s="1"/>
  <c r="M115" i="8" s="1"/>
  <c r="B95" i="8"/>
  <c r="L105" i="8" s="1"/>
  <c r="L115" i="8" s="1"/>
  <c r="J87" i="8"/>
  <c r="J105" i="8" s="1"/>
  <c r="J115" i="8" s="1"/>
  <c r="B87" i="8"/>
  <c r="I105" i="8" s="1"/>
  <c r="I115" i="8" s="1"/>
  <c r="B79" i="8"/>
  <c r="O94" i="8"/>
  <c r="N104" i="8" s="1"/>
  <c r="N114" i="8" s="1"/>
  <c r="J94" i="8"/>
  <c r="M104" i="8" s="1"/>
  <c r="M114" i="8" s="1"/>
  <c r="B94" i="8"/>
  <c r="L104" i="8" s="1"/>
  <c r="L114" i="8" s="1"/>
  <c r="O86" i="8"/>
  <c r="B91" i="8"/>
  <c r="I109" i="8" s="1"/>
  <c r="I119" i="8" s="1"/>
  <c r="J86" i="8"/>
  <c r="J104" i="8" s="1"/>
  <c r="J114" i="8" s="1"/>
  <c r="B86" i="8"/>
  <c r="I104" i="8" s="1"/>
  <c r="I114" i="8" s="1"/>
  <c r="O78" i="8"/>
  <c r="F104" i="8" s="1"/>
  <c r="F114" i="8" s="1"/>
  <c r="J78" i="8"/>
  <c r="C104" i="8" s="1"/>
  <c r="C114" i="8" s="1"/>
  <c r="B78" i="8"/>
  <c r="B104" i="8" s="1"/>
  <c r="B114" i="8" s="1"/>
  <c r="O87" i="8"/>
  <c r="K105" i="8" s="1"/>
  <c r="K115" i="8" s="1"/>
  <c r="O88" i="8"/>
  <c r="K106" i="8" s="1"/>
  <c r="K116" i="8" s="1"/>
  <c r="O89" i="8"/>
  <c r="K107" i="8" s="1"/>
  <c r="K117" i="8" s="1"/>
  <c r="O90" i="8"/>
  <c r="K108" i="8" s="1"/>
  <c r="K118" i="8" s="1"/>
  <c r="O91" i="8"/>
  <c r="K109" i="8" s="1"/>
  <c r="K119" i="8" s="1"/>
  <c r="K104" i="8"/>
  <c r="K114" i="8" s="1"/>
  <c r="O96" i="8"/>
  <c r="N106" i="8" s="1"/>
  <c r="N116" i="8" s="1"/>
  <c r="J96" i="8"/>
  <c r="M106" i="8" s="1"/>
  <c r="M116" i="8" s="1"/>
  <c r="J97" i="8"/>
  <c r="M107" i="8" s="1"/>
  <c r="M117" i="8" s="1"/>
  <c r="J98" i="8"/>
  <c r="M108" i="8" s="1"/>
  <c r="M118" i="8" s="1"/>
  <c r="J99" i="8"/>
  <c r="M109" i="8" s="1"/>
  <c r="M119" i="8" s="1"/>
  <c r="O98" i="8"/>
  <c r="N108" i="8" s="1"/>
  <c r="N118" i="8" s="1"/>
  <c r="O99" i="8"/>
  <c r="N109" i="8" s="1"/>
  <c r="N119" i="8" s="1"/>
  <c r="B99" i="8"/>
  <c r="L109" i="8" s="1"/>
  <c r="L119" i="8" s="1"/>
  <c r="J91" i="8"/>
  <c r="J109" i="8" s="1"/>
  <c r="J119" i="8" s="1"/>
  <c r="O79" i="8"/>
  <c r="F105" i="8" s="1"/>
  <c r="F115" i="8" s="1"/>
  <c r="O82" i="8"/>
  <c r="F108" i="8" s="1"/>
  <c r="F118" i="8" s="1"/>
  <c r="O83" i="8"/>
  <c r="F109" i="8" s="1"/>
  <c r="F119" i="8" s="1"/>
  <c r="J79" i="8"/>
  <c r="C105" i="8" s="1"/>
  <c r="C115" i="8" s="1"/>
  <c r="J81" i="8"/>
  <c r="C107" i="8" s="1"/>
  <c r="C117" i="8" s="1"/>
  <c r="J82" i="8"/>
  <c r="C108" i="8" s="1"/>
  <c r="C118" i="8" s="1"/>
  <c r="J83" i="8"/>
  <c r="C109" i="8" s="1"/>
  <c r="C119" i="8" s="1"/>
  <c r="C27" i="8"/>
  <c r="F106" i="8"/>
  <c r="F116" i="8" s="1"/>
  <c r="C106" i="8"/>
  <c r="C116" i="8" s="1"/>
  <c r="B105" i="8"/>
  <c r="B115" i="8" s="1"/>
  <c r="E112" i="4"/>
  <c r="B112" i="4"/>
  <c r="H111" i="4"/>
  <c r="B111" i="4"/>
  <c r="L110" i="4"/>
  <c r="H110" i="4"/>
  <c r="G88" i="4"/>
  <c r="J103" i="4" s="1"/>
  <c r="J112" i="4" s="1"/>
  <c r="B88" i="4"/>
  <c r="I103" i="4" s="1"/>
  <c r="I112" i="4" s="1"/>
  <c r="K82" i="4"/>
  <c r="H103" i="4" s="1"/>
  <c r="H112" i="4" s="1"/>
  <c r="G82" i="4"/>
  <c r="G103" i="4" s="1"/>
  <c r="G112" i="4" s="1"/>
  <c r="B82" i="4"/>
  <c r="K76" i="4"/>
  <c r="K87" i="4"/>
  <c r="G87" i="4"/>
  <c r="J102" i="4" s="1"/>
  <c r="J111" i="4" s="1"/>
  <c r="B87" i="4"/>
  <c r="I102" i="4" s="1"/>
  <c r="I111" i="4" s="1"/>
  <c r="K81" i="4"/>
  <c r="G81" i="4"/>
  <c r="B75" i="4"/>
  <c r="G75" i="4"/>
  <c r="C102" i="4" s="1"/>
  <c r="C111" i="4" s="1"/>
  <c r="K75" i="4"/>
  <c r="E102" i="4" s="1"/>
  <c r="E111" i="4" s="1"/>
  <c r="B81" i="4"/>
  <c r="F102" i="4" s="1"/>
  <c r="F111" i="4" s="1"/>
  <c r="B101" i="4"/>
  <c r="B110" i="4" s="1"/>
  <c r="D103" i="6"/>
  <c r="D112" i="6" s="1"/>
  <c r="C103" i="6"/>
  <c r="C112" i="6" s="1"/>
  <c r="B103" i="6"/>
  <c r="B112" i="6" s="1"/>
  <c r="K102" i="6"/>
  <c r="K111" i="6" s="1"/>
  <c r="J102" i="6"/>
  <c r="J111" i="6" s="1"/>
  <c r="F94" i="6"/>
  <c r="K103" i="6" s="1"/>
  <c r="K112" i="6" s="1"/>
  <c r="F93" i="6"/>
  <c r="F92" i="6"/>
  <c r="K101" i="6" s="1"/>
  <c r="K110" i="6" s="1"/>
  <c r="J88" i="6"/>
  <c r="J103" i="6" s="1"/>
  <c r="J112" i="6" s="1"/>
  <c r="F88" i="6"/>
  <c r="I103" i="6" s="1"/>
  <c r="I112" i="6" s="1"/>
  <c r="B88" i="6"/>
  <c r="H103" i="6" s="1"/>
  <c r="H112" i="6" s="1"/>
  <c r="J87" i="6"/>
  <c r="F87" i="6"/>
  <c r="I102" i="6" s="1"/>
  <c r="I111" i="6" s="1"/>
  <c r="B87" i="6"/>
  <c r="H102" i="6" s="1"/>
  <c r="H111" i="6" s="1"/>
  <c r="J86" i="6"/>
  <c r="J101" i="6" s="1"/>
  <c r="J110" i="6" s="1"/>
  <c r="F86" i="6"/>
  <c r="I101" i="6" s="1"/>
  <c r="I110" i="6" s="1"/>
  <c r="B86" i="6"/>
  <c r="H101" i="6" s="1"/>
  <c r="H110" i="6" s="1"/>
  <c r="J82" i="6"/>
  <c r="G103" i="6" s="1"/>
  <c r="G112" i="6" s="1"/>
  <c r="F82" i="6"/>
  <c r="F103" i="6" s="1"/>
  <c r="F112" i="6" s="1"/>
  <c r="B82" i="6"/>
  <c r="E103" i="6" s="1"/>
  <c r="E112" i="6" s="1"/>
  <c r="J81" i="6"/>
  <c r="G102" i="6" s="1"/>
  <c r="G111" i="6" s="1"/>
  <c r="F81" i="6"/>
  <c r="F102" i="6" s="1"/>
  <c r="F111" i="6" s="1"/>
  <c r="B81" i="6"/>
  <c r="E102" i="6" s="1"/>
  <c r="E111" i="6" s="1"/>
  <c r="J80" i="6"/>
  <c r="G101" i="6" s="1"/>
  <c r="G110" i="6" s="1"/>
  <c r="F80" i="6"/>
  <c r="F101" i="6" s="1"/>
  <c r="F110" i="6" s="1"/>
  <c r="B80" i="6"/>
  <c r="E101" i="6" s="1"/>
  <c r="E110" i="6" s="1"/>
  <c r="J76" i="6"/>
  <c r="F76" i="6"/>
  <c r="B76" i="6"/>
  <c r="J75" i="6"/>
  <c r="D102" i="6" s="1"/>
  <c r="D111" i="6" s="1"/>
  <c r="F75" i="6"/>
  <c r="C102" i="6" s="1"/>
  <c r="C111" i="6" s="1"/>
  <c r="B75" i="6"/>
  <c r="B102" i="6" s="1"/>
  <c r="B111" i="6" s="1"/>
  <c r="J74" i="6"/>
  <c r="D101" i="6" s="1"/>
  <c r="D110" i="6" s="1"/>
  <c r="F74" i="6"/>
  <c r="C101" i="6" s="1"/>
  <c r="C110" i="6" s="1"/>
  <c r="B74" i="6"/>
  <c r="B101" i="6" s="1"/>
  <c r="B110" i="6" s="1"/>
  <c r="C28" i="6"/>
  <c r="C27" i="6"/>
  <c r="C26" i="6"/>
  <c r="C25" i="6"/>
  <c r="C24" i="6"/>
  <c r="C23" i="6"/>
  <c r="C22" i="6"/>
  <c r="C21" i="6"/>
  <c r="C20" i="6"/>
  <c r="C19" i="6"/>
  <c r="C18" i="6"/>
  <c r="L102" i="4"/>
  <c r="L111" i="4" s="1"/>
  <c r="K102" i="4"/>
  <c r="K111" i="4" s="1"/>
  <c r="G93" i="4"/>
  <c r="J101" i="4"/>
  <c r="J110" i="4" s="1"/>
  <c r="E103" i="4"/>
  <c r="G94" i="4"/>
  <c r="L103" i="4" s="1"/>
  <c r="L112" i="4" s="1"/>
  <c r="G92" i="4"/>
  <c r="L101" i="4" s="1"/>
  <c r="K88" i="4"/>
  <c r="K103" i="4" s="1"/>
  <c r="K112" i="4" s="1"/>
  <c r="K86" i="4"/>
  <c r="K101" i="4" s="1"/>
  <c r="K110" i="4" s="1"/>
  <c r="G86" i="4"/>
  <c r="B86" i="4"/>
  <c r="I101" i="4" s="1"/>
  <c r="I110" i="4" s="1"/>
  <c r="H102" i="4"/>
  <c r="K80" i="4"/>
  <c r="H101" i="4" s="1"/>
  <c r="G102" i="4"/>
  <c r="G111" i="4" s="1"/>
  <c r="G80" i="4"/>
  <c r="G101" i="4" s="1"/>
  <c r="G110" i="4" s="1"/>
  <c r="F103" i="4"/>
  <c r="F112" i="4" s="1"/>
  <c r="B80" i="4"/>
  <c r="F101" i="4" s="1"/>
  <c r="F110" i="4" s="1"/>
  <c r="K74" i="4"/>
  <c r="E101" i="4" s="1"/>
  <c r="E110" i="4" s="1"/>
  <c r="G76" i="4"/>
  <c r="C103" i="4" s="1"/>
  <c r="C112" i="4" s="1"/>
  <c r="G74" i="4"/>
  <c r="C101" i="4" s="1"/>
  <c r="C110" i="4" s="1"/>
  <c r="B102" i="4"/>
  <c r="B76" i="4"/>
  <c r="B103" i="4" s="1"/>
  <c r="B74" i="4"/>
  <c r="C28" i="4"/>
  <c r="C27" i="4"/>
  <c r="C26" i="4"/>
  <c r="C25" i="4"/>
  <c r="C24" i="4"/>
  <c r="C23" i="4"/>
  <c r="C22" i="4"/>
  <c r="C21" i="4"/>
  <c r="C20" i="4"/>
  <c r="C19" i="4"/>
  <c r="C18" i="4"/>
  <c r="B3" i="2"/>
  <c r="B4" i="2"/>
  <c r="B5" i="2"/>
  <c r="B6" i="2"/>
  <c r="B7" i="2"/>
  <c r="B8" i="2"/>
  <c r="B9" i="2"/>
  <c r="B10" i="2"/>
  <c r="B11" i="2"/>
  <c r="B12" i="2"/>
  <c r="B2" i="2"/>
  <c r="B12" i="1"/>
  <c r="B8" i="1"/>
  <c r="B3" i="1"/>
  <c r="B11" i="1"/>
  <c r="B10" i="1"/>
  <c r="B9" i="1"/>
  <c r="B7" i="1"/>
  <c r="B6" i="1"/>
  <c r="B5" i="1"/>
  <c r="B4" i="1"/>
  <c r="B2" i="1"/>
  <c r="N25" i="1"/>
  <c r="K25" i="1"/>
  <c r="H25" i="1"/>
  <c r="E25" i="1"/>
  <c r="B25" i="1"/>
  <c r="E27" i="8" l="1"/>
  <c r="D27" i="8"/>
  <c r="O117" i="8"/>
  <c r="O118" i="8"/>
  <c r="O119" i="8"/>
  <c r="M110" i="4"/>
  <c r="M112" i="4"/>
  <c r="M111" i="4"/>
  <c r="L110" i="6"/>
  <c r="L112" i="6"/>
  <c r="L111" i="6"/>
  <c r="M111" i="6" s="1"/>
  <c r="N111" i="4" l="1"/>
  <c r="N112" i="4"/>
  <c r="N110" i="4"/>
  <c r="M112" i="6"/>
  <c r="M110" i="6"/>
  <c r="O114" i="8"/>
  <c r="O115" i="8"/>
  <c r="O116" i="8"/>
  <c r="P119" i="8" l="1"/>
  <c r="P118" i="8"/>
  <c r="P114" i="8"/>
  <c r="P116" i="8"/>
  <c r="P115" i="8"/>
  <c r="P117" i="8"/>
</calcChain>
</file>

<file path=xl/sharedStrings.xml><?xml version="1.0" encoding="utf-8"?>
<sst xmlns="http://schemas.openxmlformats.org/spreadsheetml/2006/main" count="1560" uniqueCount="356">
  <si>
    <t xml:space="preserve">Biaya </t>
  </si>
  <si>
    <t>Fasilitas</t>
  </si>
  <si>
    <t>Luas Kamar</t>
  </si>
  <si>
    <t>Jarak</t>
  </si>
  <si>
    <t>Keamanan</t>
  </si>
  <si>
    <t>Batas Jam Malam</t>
  </si>
  <si>
    <t>linkungan pendukung</t>
  </si>
  <si>
    <t>Jenis air</t>
  </si>
  <si>
    <t>jenis listrik</t>
  </si>
  <si>
    <t>jalur transaportasi</t>
  </si>
  <si>
    <t>Kruteria</t>
  </si>
  <si>
    <t>Bobot</t>
  </si>
  <si>
    <t>R1 = Abid</t>
  </si>
  <si>
    <t>R2 = Epo</t>
  </si>
  <si>
    <t>R3 = Irwan</t>
  </si>
  <si>
    <t>R4 = Reyhan</t>
  </si>
  <si>
    <t>no</t>
  </si>
  <si>
    <t>Sub Kriteria</t>
  </si>
  <si>
    <t>Simbol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</si>
  <si>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</si>
  <si>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</si>
  <si>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</si>
  <si>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</si>
  <si>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</si>
  <si>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</si>
  <si>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</si>
  <si>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</si>
  <si>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</si>
  <si>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</si>
  <si>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Nilai</t>
  </si>
  <si>
    <t>Biaya</t>
  </si>
  <si>
    <t>≤ Rp 700.000 – Rp 900.000</t>
  </si>
  <si>
    <t>&gt; Rp 900.000 – Rp 1.300.000</t>
  </si>
  <si>
    <t>&gt; Rp 1.300.000 – Rp 1.600.000</t>
  </si>
  <si>
    <t>&gt; Rp 1.600.000 – Rp 2.000.000</t>
  </si>
  <si>
    <t>&gt; Rp 2.000.000</t>
  </si>
  <si>
    <t>Kategori</t>
  </si>
  <si>
    <t>Cost</t>
  </si>
  <si>
    <t>Benefit</t>
  </si>
  <si>
    <t xml:space="preserve">Nilai </t>
  </si>
  <si>
    <t>Lingkungan Pendukung</t>
  </si>
  <si>
    <t>Jenis Air</t>
  </si>
  <si>
    <t>Jenis Listrik</t>
  </si>
  <si>
    <t>Jalur Transportasi</t>
  </si>
  <si>
    <t>Semakin Rendah semakin Baik</t>
  </si>
  <si>
    <t>Semakin Tinggi semakin Baik</t>
  </si>
  <si>
    <t>&gt;= 7M^2 - 10M^2</t>
  </si>
  <si>
    <t>&gt;= 10M^2 - 14M^2</t>
  </si>
  <si>
    <t>&gt;= 14M^2 - 18M^2</t>
  </si>
  <si>
    <t>&gt; 18M^2</t>
  </si>
  <si>
    <t>&lt; 7M^2</t>
  </si>
  <si>
    <t>&lt; 500 m</t>
  </si>
  <si>
    <t>&gt;= 500 m - 1km</t>
  </si>
  <si>
    <t>&gt;= 1km - 2km</t>
  </si>
  <si>
    <t>&gt;= 2km - 3km</t>
  </si>
  <si>
    <t>&gt; 3km</t>
  </si>
  <si>
    <t xml:space="preserve">Tidak ada </t>
  </si>
  <si>
    <t>Satpam</t>
  </si>
  <si>
    <t>CCTV</t>
  </si>
  <si>
    <t>21,00</t>
  </si>
  <si>
    <t>22,00</t>
  </si>
  <si>
    <t>23,00 - 24,00</t>
  </si>
  <si>
    <t>beri kunci</t>
  </si>
  <si>
    <t>24 jam terbuka</t>
  </si>
  <si>
    <t>Tempat Makan</t>
  </si>
  <si>
    <t>Atk</t>
  </si>
  <si>
    <t>Ibadah</t>
  </si>
  <si>
    <t>Pada Waktu Sewa</t>
  </si>
  <si>
    <t>Jalan Kaki</t>
  </si>
  <si>
    <t>Motor</t>
  </si>
  <si>
    <t>Mobil</t>
  </si>
  <si>
    <t>Angkutan Umum</t>
  </si>
  <si>
    <t>Kamar mandi</t>
  </si>
  <si>
    <t>Meja</t>
  </si>
  <si>
    <t>Wifi</t>
  </si>
  <si>
    <t>Tempat parkir</t>
  </si>
  <si>
    <t>Lemari</t>
  </si>
  <si>
    <t>No</t>
  </si>
  <si>
    <t>Nama Kost</t>
  </si>
  <si>
    <t>Nama Pemilik Kost</t>
  </si>
  <si>
    <t>Alamat Kost</t>
  </si>
  <si>
    <t>No tlpn Pemilik Kost</t>
  </si>
  <si>
    <t>Jenis Kost</t>
  </si>
  <si>
    <t>Harga</t>
  </si>
  <si>
    <t>Fasiltas</t>
  </si>
  <si>
    <t>Lokasi Pendukung</t>
  </si>
  <si>
    <t xml:space="preserve"> Batas Jam Malam</t>
  </si>
  <si>
    <t>Transportasi</t>
  </si>
  <si>
    <t>Pondok Harmony 1</t>
  </si>
  <si>
    <t>Pondok Harmony 2</t>
  </si>
  <si>
    <t>Pondok Harmony 3</t>
  </si>
  <si>
    <t>KF02</t>
  </si>
  <si>
    <t>Pondok Mama</t>
  </si>
  <si>
    <t>Pondiok Hikmah Jaya 2</t>
  </si>
  <si>
    <t>Olan</t>
  </si>
  <si>
    <t>Jalan Sahabat 3 no 15</t>
  </si>
  <si>
    <t>+6285926084686</t>
  </si>
  <si>
    <t>Rp 800.000</t>
  </si>
  <si>
    <t>Rp 1.200.000</t>
  </si>
  <si>
    <t>Rp 1.500.000</t>
  </si>
  <si>
    <t>3x4</t>
  </si>
  <si>
    <t>4x5</t>
  </si>
  <si>
    <t xml:space="preserve">Spring Bed
Kipas,
Lemari,
Meja,
Wc Dalam,
Dapur Dalam,      AC,                        Wifi         </t>
  </si>
  <si>
    <t>Spring Bed,
Kipas,
Lemari,
Meja,
Wc Dalam,
Dapur Dalam,    wifi</t>
  </si>
  <si>
    <t>Pembayaran Awal dan Sumur Bor</t>
  </si>
  <si>
    <t>Token</t>
  </si>
  <si>
    <t>CCTV sama Penjaga</t>
  </si>
  <si>
    <t>Smart Lock berbasis Kunci Pagar</t>
  </si>
  <si>
    <t xml:space="preserve">CCTV sama penjaga </t>
  </si>
  <si>
    <t>Angkutan Umum, Motor,                   Mobil</t>
  </si>
  <si>
    <t xml:space="preserve">Laundry,                    tempat makan, Masjid                   Fotocopy ATK,           Warung                  </t>
  </si>
  <si>
    <t>Kasman Sudirman</t>
  </si>
  <si>
    <t>Tidak di Publish</t>
  </si>
  <si>
    <t>Token dan Prabayar</t>
  </si>
  <si>
    <t>Umum</t>
  </si>
  <si>
    <t>Jalan Sahabat Raya no 27</t>
  </si>
  <si>
    <t>Spring Bed, Lemari,               Meja,          Exhaust,               AC</t>
  </si>
  <si>
    <t>Bebas</t>
  </si>
  <si>
    <t>Bebas,                        Kunci Pagar</t>
  </si>
  <si>
    <t>5 x4</t>
  </si>
  <si>
    <t>PLN dan Perbulan</t>
  </si>
  <si>
    <t>CCTV, Penjaga</t>
  </si>
  <si>
    <t>Tempat tidur,          Spring Bed,                Lemari</t>
  </si>
  <si>
    <t>8 Juta Per Tahun</t>
  </si>
  <si>
    <t>Mardawati</t>
  </si>
  <si>
    <t>22, 00 dan kunci</t>
  </si>
  <si>
    <t>Putri</t>
  </si>
  <si>
    <t>+6285323006053</t>
  </si>
  <si>
    <t>Jalan Sahabat 3 no 18</t>
  </si>
  <si>
    <t>Ibu Sakia sama Bapak Anto</t>
  </si>
  <si>
    <t xml:space="preserve">+6285399929977, +6282124347558 </t>
  </si>
  <si>
    <t>Rp. 1.500.000</t>
  </si>
  <si>
    <t>4x3</t>
  </si>
  <si>
    <t>Ac,                              Spring Bed,              Lemari,                    Wc Dalam,                  wifi,                            electric hoist</t>
  </si>
  <si>
    <t>Spring Bed</t>
  </si>
  <si>
    <t>Dapur</t>
  </si>
  <si>
    <t>Laundry</t>
  </si>
  <si>
    <t>warung</t>
  </si>
  <si>
    <t>Ac</t>
  </si>
  <si>
    <t>Kipas</t>
  </si>
  <si>
    <t>&lt;=2</t>
  </si>
  <si>
    <t>&gt;=10</t>
  </si>
  <si>
    <t>Smart Lock</t>
  </si>
  <si>
    <t>Satpam,               CCTV,         SmartLock</t>
  </si>
  <si>
    <t>Biaya (Rp/Bulan)</t>
  </si>
  <si>
    <t>Luas Kamar (m²)</t>
  </si>
  <si>
    <t>Jarak ke Kampus</t>
  </si>
  <si>
    <t>Kost Melati (A1)</t>
  </si>
  <si>
    <t>1.600.000</t>
  </si>
  <si>
    <t>2–3 km</t>
  </si>
  <si>
    <t>Satpam + CCTV + Smartlock</t>
  </si>
  <si>
    <t>PDAM bulanan</t>
  </si>
  <si>
    <t>Kost Mawar (A2)</t>
  </si>
  <si>
    <t>&lt;500 m</t>
  </si>
  <si>
    <t>Tutup 23:00–24:00</t>
  </si>
  <si>
    <t>Token air</t>
  </si>
  <si>
    <t>Jalan kaki</t>
  </si>
  <si>
    <t>Kost Anggrek (A3)</t>
  </si>
  <si>
    <t>1.200.000</t>
  </si>
  <si>
    <t>1–2 km</t>
  </si>
  <si>
    <t>Sistem sewa menyesuaikan</t>
  </si>
  <si>
    <t>4x3.5</t>
  </si>
  <si>
    <t>3x3</t>
  </si>
  <si>
    <t xml:space="preserve">CCTV </t>
  </si>
  <si>
    <t xml:space="preserve">Satpam </t>
  </si>
  <si>
    <t>warung, tempat ibadah, laundry, makan</t>
  </si>
  <si>
    <t>tempat makan, ibadah, atk</t>
  </si>
  <si>
    <t>tempat makan, ibadah, atk, laundry</t>
  </si>
  <si>
    <t>motor</t>
  </si>
  <si>
    <t>mobil</t>
  </si>
  <si>
    <t>Kode</t>
  </si>
  <si>
    <t>2. Menentukan Bobot dari Kriteria</t>
  </si>
  <si>
    <t>1. Menentukan Kriteria</t>
  </si>
  <si>
    <t>Ci</t>
  </si>
  <si>
    <t>W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</si>
  <si>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</si>
  <si>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</si>
  <si>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</si>
  <si>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</si>
  <si>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</si>
  <si>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</si>
  <si>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</si>
  <si>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</si>
  <si>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</si>
  <si>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</si>
  <si>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3. Menentukan Atribut Kriteria</t>
  </si>
  <si>
    <t>Atribut</t>
  </si>
  <si>
    <t>4. Menentukan Crips</t>
  </si>
  <si>
    <t>Studi Kasus</t>
  </si>
  <si>
    <t>Spring bed, Kamar Mandi, lemari, Wi-Fi, dapur, meja, tempat parkir</t>
  </si>
  <si>
    <t>Spring bed,  Wi-Fi ,  lemari, tempat parkir, Kamar Mandi</t>
  </si>
  <si>
    <t>Kamar Mandi, lemari, Wi-Fi, tempat parkir, AC, Spring bed</t>
  </si>
  <si>
    <t>5. Menyusun data Alternatif</t>
  </si>
  <si>
    <t>A1</t>
  </si>
  <si>
    <t>A2</t>
  </si>
  <si>
    <t>A3</t>
  </si>
  <si>
    <t>Keterangan</t>
  </si>
  <si>
    <t>Kost Melati</t>
  </si>
  <si>
    <t>Kost Mawar</t>
  </si>
  <si>
    <t>Kost Anggrek</t>
  </si>
  <si>
    <t>&gt;= Rp 900.000 – Rp 1.300.000</t>
  </si>
  <si>
    <t>&gt;= Rp 1.300.000 – Rp 1.600.000</t>
  </si>
  <si>
    <t>&gt;= Rp 1.600.000 – Rp 2.000.000</t>
  </si>
  <si>
    <t>900.000</t>
  </si>
  <si>
    <t>Pascabayar/bulanan</t>
  </si>
  <si>
    <t>token</t>
  </si>
  <si>
    <t>Pascabayar</t>
  </si>
  <si>
    <t>6. Membuat Matriks Keputusan</t>
  </si>
  <si>
    <t>Ai</t>
  </si>
  <si>
    <t>&gt;=2 - 4</t>
  </si>
  <si>
    <t>&gt;=4 - 6</t>
  </si>
  <si>
    <t>&gt;=6 - 8</t>
  </si>
  <si>
    <t>7. Normalisasi</t>
  </si>
  <si>
    <t>C1= Cost: Nilai minimal / Nilai Alternatif Kriteria</t>
  </si>
  <si>
    <t xml:space="preserve">C2= Benefit: Nilai Alternatif Kriteria/ Nilai Maximal  </t>
  </si>
  <si>
    <t xml:space="preserve">C3= Benefit: Nilai Alternatif Kriteria/ Nilai Maximal  </t>
  </si>
  <si>
    <t>C4= Cost: Nilai minimal / Nilai Alternatif Kriteria</t>
  </si>
  <si>
    <t xml:space="preserve">C5= Benefit: Nilai Alternatif Kriteria/ Nilai Maximal  </t>
  </si>
  <si>
    <t>C6= Cost: Nilai minimal / Nilai Alternatif Kriteria</t>
  </si>
  <si>
    <t xml:space="preserve">C7= Benefit: Nilai Alternatif Kriteria/ Nilai Maximal  </t>
  </si>
  <si>
    <t xml:space="preserve">C8= Benefit: Nilai Alternatif Kriteria/ Nilai Maximal  </t>
  </si>
  <si>
    <t xml:space="preserve">C9= Benefit: Nilai Alternatif Kriteria/ Nilai Maximal  </t>
  </si>
  <si>
    <t xml:space="preserve">C10= Benefit: Nilai Alternatif Kriteria/ Nilai Maximal  </t>
  </si>
  <si>
    <t>8. Matriks ternomalisasi</t>
  </si>
  <si>
    <t>9. Perangkingan</t>
  </si>
  <si>
    <t>Total</t>
  </si>
  <si>
    <t>Ranking</t>
  </si>
  <si>
    <t>&lt;=1</t>
  </si>
  <si>
    <t>kursi</t>
  </si>
  <si>
    <t xml:space="preserve">kebersihan </t>
  </si>
  <si>
    <t>Jenis listrik</t>
  </si>
  <si>
    <t>Kebersihan</t>
  </si>
  <si>
    <t>dibersihkan setiap hari</t>
  </si>
  <si>
    <t>dibersihkan seminggu hari</t>
  </si>
  <si>
    <t>dibersihkan sebulan sekali</t>
  </si>
  <si>
    <t>Ukuran Kamar (m²)</t>
  </si>
  <si>
    <t>Kos Kantin Surabaya</t>
  </si>
  <si>
    <t>&gt;Rp.900.000 – Rp.1.300.000</t>
  </si>
  <si>
    <t>Lengkap (Kasur, Lemari, AC, Kamar Mandi Dalam, WiFi, Parkir Luas)</t>
  </si>
  <si>
    <t>Lengkap (dekat tempat makan, ibadah, hiburan)</t>
  </si>
  <si>
    <t>Tidak ada batas jam malam</t>
  </si>
  <si>
    <t>Dibersihkan setiap hari</t>
  </si>
  <si>
    <t>50 meter</t>
  </si>
  <si>
    <t>Amanah Kos</t>
  </si>
  <si>
    <t>Lengkap (dekat tempat makan, warung, ibadah, hiburan)</t>
  </si>
  <si>
    <t>CCTV &amp; Penjaga</t>
  </si>
  <si>
    <t>21.00–22.00</t>
  </si>
  <si>
    <t>Prabayar</t>
  </si>
  <si>
    <t>D’Orange</t>
  </si>
  <si>
    <t>≤Rp.700.000 – Rp.900.000</t>
  </si>
  <si>
    <t>Cukup Lengkap (dekat makan, ibadah, hiburan)</t>
  </si>
  <si>
    <t>23.00–24.00</t>
  </si>
  <si>
    <t>&gt;250 meter – 1 km</t>
  </si>
  <si>
    <t>A4</t>
  </si>
  <si>
    <t>Kos Janji</t>
  </si>
  <si>
    <t>Cukup Lengkap (Kasur, Lemari, Kipas, KM Dalam)</t>
  </si>
  <si>
    <t>Lengkap (dekat makan, warung, ibadah, hiburan)</t>
  </si>
  <si>
    <t>Tidak ada keamanan</t>
  </si>
  <si>
    <t>Dibersihkan seminggu sekali</t>
  </si>
  <si>
    <t>A5</t>
  </si>
  <si>
    <t>Kos Faazana</t>
  </si>
  <si>
    <t>Lengkap (Kasur, Lemari, AC, KM Dalam, WiFi, Parkir)</t>
  </si>
  <si>
    <t>Lengkap (dekat makan, ibadah, hiburan)</t>
  </si>
  <si>
    <t>&gt;50 – 250 meter</t>
  </si>
  <si>
    <t>A6</t>
  </si>
  <si>
    <t>Graha Green</t>
  </si>
  <si>
    <t>Ukuran ruangan</t>
  </si>
  <si>
    <t>50 m</t>
  </si>
  <si>
    <t>&gt;50 -250 m</t>
  </si>
  <si>
    <t>&gt;250 - 1km</t>
  </si>
  <si>
    <t>&gt;1km -2.5 km</t>
  </si>
  <si>
    <t>&lt;= RP.700.000 - Rp. 900.000</t>
  </si>
  <si>
    <t>&gt; RP.900.000 - Rp. 1.300.000</t>
  </si>
  <si>
    <t>&gt; RP.1.300.000 - Rp. 1.600.00</t>
  </si>
  <si>
    <t>&gt; RP.1.600.000 - Rp. 2.000.00</t>
  </si>
  <si>
    <t>Kasur, lemari, kipas</t>
  </si>
  <si>
    <t>Kasur, lemari, kipas/Ac, kamar mandi dalam</t>
  </si>
  <si>
    <t>Kasur, lemari, kipas/Ac, kamar mandi dalam, wifi dan parkir</t>
  </si>
  <si>
    <t>keterangan</t>
  </si>
  <si>
    <t>Sangat tidak lengkap</t>
  </si>
  <si>
    <t>tidak lengkap</t>
  </si>
  <si>
    <t>cukup lengkap</t>
  </si>
  <si>
    <t>lengkap</t>
  </si>
  <si>
    <t>Dekat dengan tempat hiburan</t>
  </si>
  <si>
    <t>dekat dengan tempat makan sama tempat hiburan</t>
  </si>
  <si>
    <t>dekat dengan tempat makan sama tempat hiburan, ibadah</t>
  </si>
  <si>
    <t>dekat dengan tempat makan sama tempat hiburan, warung</t>
  </si>
  <si>
    <t>satpam</t>
  </si>
  <si>
    <t>3x3 m^2</t>
  </si>
  <si>
    <t>3x4m^2</t>
  </si>
  <si>
    <t>4x5m^2</t>
  </si>
  <si>
    <t>5x6^2</t>
  </si>
  <si>
    <t>21:00 - 22:00</t>
  </si>
  <si>
    <t>23:00 - 24:00</t>
  </si>
  <si>
    <t>bebas</t>
  </si>
  <si>
    <t>01:00-02:00</t>
  </si>
  <si>
    <t>C2= Cost: Nilai minimal / Nilai Alternatif Kriteria</t>
  </si>
  <si>
    <t>C7= Cost: Nilai minimal / Nilai Alternatif Kriteria</t>
  </si>
  <si>
    <t>C9= Cost: Nilai minimal / Nilai Alternatif Kriteria</t>
  </si>
  <si>
    <t>CCTV dan satpam</t>
  </si>
  <si>
    <t xml:space="preserve">C4= Benefit: Nilai Alternatif Kriteria/ Nilai Maximal  </t>
  </si>
  <si>
    <t xml:space="preserve">C6= Benefit: Nilai Alternatif Kriteria/ Nilai Maximal  </t>
  </si>
  <si>
    <t>Roc</t>
  </si>
  <si>
    <t>Rank</t>
  </si>
  <si>
    <t>Bobot utama</t>
  </si>
  <si>
    <t>Roc dikalikan dapat nilai real</t>
  </si>
  <si>
    <t>Perhitungan ROC</t>
  </si>
  <si>
    <t xml:space="preserve">Roc dikalikan dapat nilai real </t>
  </si>
  <si>
    <t xml:space="preserve">Bobot utama </t>
  </si>
  <si>
    <t>beda 16</t>
  </si>
  <si>
    <t>sama</t>
  </si>
  <si>
    <t>beda 1</t>
  </si>
  <si>
    <t>beda 2</t>
  </si>
  <si>
    <t>beda 14</t>
  </si>
  <si>
    <t>Jalan Sahabat 1 no 17</t>
  </si>
  <si>
    <t>Metode / Asumsi</t>
  </si>
  <si>
    <t>Hasil sampel (pembulatan umum)</t>
  </si>
  <si>
    <t>Slovin (e=0{,}05)</t>
  </si>
  <si>
    <t>Slovin (e=0{,}10)</t>
  </si>
  <si>
    <t>Cochran (adjusted, e=0{,}05, Z=1{,}96, p=0{,}5)</t>
  </si>
  <si>
    <t>Cochran (adjusted, e=0{,}10)</t>
  </si>
  <si>
    <t>Krejcie &amp; Morgan (tabel)</t>
  </si>
  <si>
    <t>Isaac &amp; Michael (tabel)</t>
  </si>
  <si>
    <t>Stratified (proporsional)</t>
  </si>
  <si>
    <t>Cluster (two-stage)</t>
  </si>
  <si>
    <t>Rumus</t>
  </si>
  <si>
    <t>n=1+Ne2N​</t>
  </si>
  <si>
    <t>n0​=e2Z2p(1−p)​</t>
  </si>
  <si>
    <t>Ibu Maya</t>
  </si>
  <si>
    <t>12 juta per tahun</t>
  </si>
  <si>
    <t>3 x 4</t>
  </si>
  <si>
    <t xml:space="preserve">meteran </t>
  </si>
  <si>
    <t>23,00 dan kunci</t>
  </si>
  <si>
    <t>Pondok Anaqu</t>
  </si>
  <si>
    <t>Jalan Sahabat 3</t>
  </si>
  <si>
    <t>Pondok Merdeka 1</t>
  </si>
  <si>
    <t>Pondok Merdeka 2</t>
  </si>
  <si>
    <t>5 x 4</t>
  </si>
  <si>
    <t xml:space="preserve">bebas </t>
  </si>
  <si>
    <t xml:space="preserve">Kasur,                        lemari,                      wifi,                           kamar mandi dalam                                        </t>
  </si>
  <si>
    <t>Ac,                              lemari,                      kasur,                        kamar mandi dalam</t>
  </si>
  <si>
    <t>kunci</t>
  </si>
  <si>
    <t>Putri / Putra</t>
  </si>
  <si>
    <t>Jalan Sejati no 5</t>
  </si>
  <si>
    <t>Jalan Sahabat 3 Tamalanrea</t>
  </si>
  <si>
    <t>Ibu Hamida</t>
  </si>
  <si>
    <t>Jalan Sahabat 3 no 30</t>
  </si>
  <si>
    <t>Pondok Vina</t>
  </si>
  <si>
    <t xml:space="preserve">+6288705410261,             +6285299765411        </t>
  </si>
  <si>
    <t>+6281213716804</t>
  </si>
  <si>
    <t>+6282311111527</t>
  </si>
  <si>
    <t>Rp. 600.000</t>
  </si>
  <si>
    <t>sandi kunci</t>
  </si>
  <si>
    <t>wc dalam,           wifi</t>
  </si>
  <si>
    <t>jenis kost</t>
  </si>
  <si>
    <t>CCTV dan Penjaga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</si>
</sst>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vertical="center" wrapText="1"/>
    </xf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0" fontId="0" fillId="2" borderId="0" xfId="0" applyFill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497224</xdr:colOff>
      <xdr:row>30</xdr:row>
      <xdr:rowOff>62345</xdr:rowOff>
    </xdr:from>
    <xdr:ext cx="1003736" cy="4612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𝑏𝑜𝑏𝑜𝑡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p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den>
                        </m:f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𝑏𝑜𝑏𝑜𝑡=  1/𝑛 ∑_1^𝑚▒1/𝑖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13</xdr:col>
      <xdr:colOff>162732</xdr:colOff>
      <xdr:row>33</xdr:row>
      <xdr:rowOff>149815</xdr:rowOff>
    </xdr:from>
    <xdr:ext cx="2426776" cy="4297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5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7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8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den>
                        </m:f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9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1+ 1/2+ 1/3+ 1/4+ 1/5+ 1/6+ 1/7+1/8+ 1/9)/9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AEE5-C1DF-4E3B-B1A0-CC373A6F6C73}">
  <dimension ref="A2:P49"/>
  <sheetViews>
    <sheetView topLeftCell="E1" zoomScale="80" workbookViewId="0">
      <selection activeCell="M10" sqref="M10"/>
    </sheetView>
  </sheetViews>
  <sheetFormatPr defaultRowHeight="14.5" x14ac:dyDescent="0.35"/>
  <cols>
    <col min="1" max="2" width="4.453125" customWidth="1"/>
    <col min="3" max="3" width="28.1796875" customWidth="1"/>
    <col min="4" max="4" width="17.36328125" customWidth="1"/>
    <col min="5" max="5" width="25.08984375" customWidth="1"/>
    <col min="6" max="6" width="18.36328125" customWidth="1"/>
    <col min="7" max="7" width="12.54296875" customWidth="1"/>
    <col min="8" max="8" width="11.54296875" customWidth="1"/>
    <col min="9" max="9" width="16.08984375" customWidth="1"/>
    <col min="10" max="10" width="13.81640625" customWidth="1"/>
    <col min="11" max="11" width="18.08984375" customWidth="1"/>
    <col min="12" max="12" width="13.453125" customWidth="1"/>
    <col min="13" max="13" width="11.453125" customWidth="1"/>
    <col min="14" max="14" width="18.90625" customWidth="1"/>
    <col min="15" max="15" width="20.6328125" customWidth="1"/>
    <col min="16" max="16" width="18.1796875" customWidth="1"/>
  </cols>
  <sheetData>
    <row r="2" spans="1:16" x14ac:dyDescent="0.35">
      <c r="A2" s="9" t="s">
        <v>77</v>
      </c>
      <c r="B2" s="9" t="s">
        <v>77</v>
      </c>
      <c r="C2" s="9" t="s">
        <v>78</v>
      </c>
      <c r="D2" s="9" t="s">
        <v>79</v>
      </c>
      <c r="E2" s="9" t="s">
        <v>80</v>
      </c>
      <c r="F2" s="8" t="s">
        <v>81</v>
      </c>
      <c r="G2" s="9" t="s">
        <v>82</v>
      </c>
      <c r="H2" s="9" t="s">
        <v>83</v>
      </c>
      <c r="I2" s="12" t="s">
        <v>84</v>
      </c>
      <c r="J2" s="9" t="s">
        <v>42</v>
      </c>
      <c r="K2" s="9" t="s">
        <v>41</v>
      </c>
      <c r="L2" s="9" t="s">
        <v>2</v>
      </c>
      <c r="M2" s="9" t="s">
        <v>4</v>
      </c>
      <c r="N2" s="9" t="s">
        <v>85</v>
      </c>
      <c r="O2" s="9" t="s">
        <v>86</v>
      </c>
      <c r="P2" s="9" t="s">
        <v>87</v>
      </c>
    </row>
    <row r="3" spans="1:16" ht="101.5" x14ac:dyDescent="0.35">
      <c r="A3" s="6">
        <v>1</v>
      </c>
      <c r="B3" s="9">
        <v>1</v>
      </c>
      <c r="C3" s="9" t="s">
        <v>88</v>
      </c>
      <c r="D3" s="9" t="s">
        <v>94</v>
      </c>
      <c r="E3" s="9" t="s">
        <v>95</v>
      </c>
      <c r="F3" s="8" t="s">
        <v>96</v>
      </c>
      <c r="H3" s="8" t="s">
        <v>97</v>
      </c>
      <c r="I3" s="3" t="s">
        <v>103</v>
      </c>
      <c r="J3" s="9" t="s">
        <v>105</v>
      </c>
      <c r="K3" s="7" t="s">
        <v>104</v>
      </c>
      <c r="L3" s="9" t="s">
        <v>100</v>
      </c>
      <c r="M3" s="5" t="s">
        <v>106</v>
      </c>
      <c r="N3" s="5" t="s">
        <v>110</v>
      </c>
      <c r="O3" s="9" t="s">
        <v>60</v>
      </c>
      <c r="P3" s="5" t="s">
        <v>109</v>
      </c>
    </row>
    <row r="4" spans="1:16" ht="116" x14ac:dyDescent="0.35">
      <c r="A4" s="6">
        <v>2</v>
      </c>
      <c r="B4" s="9">
        <v>2</v>
      </c>
      <c r="C4" s="9" t="s">
        <v>89</v>
      </c>
      <c r="D4" s="9" t="s">
        <v>94</v>
      </c>
      <c r="E4" s="9" t="s">
        <v>95</v>
      </c>
      <c r="F4" s="8" t="s">
        <v>96</v>
      </c>
      <c r="H4" s="8" t="s">
        <v>98</v>
      </c>
      <c r="I4" s="11" t="s">
        <v>102</v>
      </c>
      <c r="J4" s="9" t="s">
        <v>105</v>
      </c>
      <c r="K4" s="7" t="s">
        <v>104</v>
      </c>
      <c r="L4" s="9" t="s">
        <v>100</v>
      </c>
      <c r="M4" s="5" t="s">
        <v>108</v>
      </c>
      <c r="N4" s="5" t="s">
        <v>110</v>
      </c>
      <c r="O4" s="12" t="s">
        <v>107</v>
      </c>
      <c r="P4" s="5" t="s">
        <v>109</v>
      </c>
    </row>
    <row r="5" spans="1:16" ht="116" x14ac:dyDescent="0.35">
      <c r="A5" s="9">
        <v>3</v>
      </c>
      <c r="B5" s="9">
        <v>3</v>
      </c>
      <c r="C5" s="9" t="s">
        <v>90</v>
      </c>
      <c r="D5" s="9" t="s">
        <v>94</v>
      </c>
      <c r="E5" s="9" t="s">
        <v>314</v>
      </c>
      <c r="F5" s="8" t="s">
        <v>96</v>
      </c>
      <c r="H5" s="10" t="s">
        <v>99</v>
      </c>
      <c r="I5" s="11" t="s">
        <v>102</v>
      </c>
      <c r="J5" s="9" t="s">
        <v>105</v>
      </c>
      <c r="K5" s="7" t="s">
        <v>104</v>
      </c>
      <c r="L5" s="9" t="s">
        <v>101</v>
      </c>
      <c r="M5" s="5" t="s">
        <v>108</v>
      </c>
      <c r="N5" s="5" t="s">
        <v>110</v>
      </c>
      <c r="O5" s="9" t="s">
        <v>60</v>
      </c>
      <c r="P5" s="5" t="s">
        <v>109</v>
      </c>
    </row>
    <row r="6" spans="1:16" ht="72.5" x14ac:dyDescent="0.35">
      <c r="A6" s="9">
        <v>4</v>
      </c>
      <c r="B6" s="9">
        <v>4</v>
      </c>
      <c r="C6" s="9" t="s">
        <v>93</v>
      </c>
      <c r="D6" s="9" t="s">
        <v>124</v>
      </c>
      <c r="E6" s="9" t="s">
        <v>128</v>
      </c>
      <c r="F6" s="8" t="s">
        <v>127</v>
      </c>
      <c r="G6" s="9" t="s">
        <v>126</v>
      </c>
      <c r="H6" s="14" t="s">
        <v>123</v>
      </c>
      <c r="I6" s="13" t="s">
        <v>122</v>
      </c>
      <c r="J6" s="12" t="s">
        <v>120</v>
      </c>
      <c r="K6" s="7" t="s">
        <v>104</v>
      </c>
      <c r="L6" s="9" t="s">
        <v>119</v>
      </c>
      <c r="M6" s="5" t="s">
        <v>121</v>
      </c>
      <c r="N6" s="5" t="s">
        <v>110</v>
      </c>
      <c r="O6" s="9" t="s">
        <v>125</v>
      </c>
      <c r="P6" s="5" t="s">
        <v>109</v>
      </c>
    </row>
    <row r="7" spans="1:16" ht="72.5" x14ac:dyDescent="0.35">
      <c r="A7" s="9">
        <v>5</v>
      </c>
      <c r="B7" s="9">
        <v>5</v>
      </c>
      <c r="C7" s="9" t="s">
        <v>91</v>
      </c>
      <c r="D7" s="9" t="s">
        <v>111</v>
      </c>
      <c r="E7" s="9" t="s">
        <v>115</v>
      </c>
      <c r="F7" s="8" t="s">
        <v>112</v>
      </c>
      <c r="G7" s="9" t="s">
        <v>114</v>
      </c>
      <c r="H7" s="8" t="s">
        <v>99</v>
      </c>
      <c r="I7" s="3" t="s">
        <v>116</v>
      </c>
      <c r="J7" s="12" t="s">
        <v>113</v>
      </c>
      <c r="K7" s="7" t="s">
        <v>104</v>
      </c>
      <c r="L7" s="9" t="s">
        <v>100</v>
      </c>
      <c r="M7" s="5" t="s">
        <v>108</v>
      </c>
      <c r="N7" s="5" t="s">
        <v>110</v>
      </c>
      <c r="O7" s="12" t="s">
        <v>118</v>
      </c>
      <c r="P7" s="5" t="s">
        <v>109</v>
      </c>
    </row>
    <row r="8" spans="1:16" ht="87" x14ac:dyDescent="0.35">
      <c r="A8" s="9">
        <v>6</v>
      </c>
      <c r="B8" s="9">
        <v>6</v>
      </c>
      <c r="C8" s="9" t="s">
        <v>92</v>
      </c>
      <c r="D8" s="12" t="s">
        <v>129</v>
      </c>
      <c r="E8" s="9" t="s">
        <v>95</v>
      </c>
      <c r="F8" s="14" t="s">
        <v>130</v>
      </c>
      <c r="G8" s="9" t="s">
        <v>126</v>
      </c>
      <c r="H8" s="8" t="s">
        <v>131</v>
      </c>
      <c r="I8" s="3" t="s">
        <v>133</v>
      </c>
      <c r="J8" s="9" t="s">
        <v>105</v>
      </c>
      <c r="K8" s="7" t="s">
        <v>104</v>
      </c>
      <c r="L8" s="9" t="s">
        <v>132</v>
      </c>
      <c r="M8" s="5" t="s">
        <v>108</v>
      </c>
      <c r="N8" s="5" t="s">
        <v>110</v>
      </c>
      <c r="O8" s="9" t="s">
        <v>117</v>
      </c>
      <c r="P8" s="5" t="s">
        <v>109</v>
      </c>
    </row>
    <row r="9" spans="1:16" ht="72.5" x14ac:dyDescent="0.35">
      <c r="A9" s="9">
        <v>7</v>
      </c>
      <c r="B9" s="9">
        <v>7</v>
      </c>
      <c r="C9" s="9" t="s">
        <v>333</v>
      </c>
      <c r="D9" s="9" t="s">
        <v>328</v>
      </c>
      <c r="E9" s="9" t="s">
        <v>334</v>
      </c>
      <c r="F9" s="14" t="s">
        <v>348</v>
      </c>
      <c r="G9" s="9" t="s">
        <v>126</v>
      </c>
      <c r="H9" s="14" t="s">
        <v>329</v>
      </c>
      <c r="I9" s="30" t="s">
        <v>339</v>
      </c>
      <c r="J9" s="9" t="s">
        <v>205</v>
      </c>
      <c r="K9" s="7" t="s">
        <v>331</v>
      </c>
      <c r="L9" s="9" t="s">
        <v>330</v>
      </c>
      <c r="M9" s="5" t="s">
        <v>355</v>
      </c>
      <c r="N9" s="5" t="s">
        <v>110</v>
      </c>
      <c r="O9" s="9" t="s">
        <v>332</v>
      </c>
      <c r="P9" s="5" t="s">
        <v>109</v>
      </c>
    </row>
    <row r="10" spans="1:16" ht="72.5" x14ac:dyDescent="0.35">
      <c r="A10" s="9">
        <v>8</v>
      </c>
      <c r="B10" s="9">
        <v>8</v>
      </c>
      <c r="C10" s="9" t="s">
        <v>335</v>
      </c>
      <c r="D10" s="9" t="s">
        <v>328</v>
      </c>
      <c r="E10" s="9" t="s">
        <v>343</v>
      </c>
      <c r="F10" s="8" t="s">
        <v>349</v>
      </c>
      <c r="G10" s="9" t="s">
        <v>342</v>
      </c>
      <c r="H10" s="2"/>
      <c r="I10" s="3"/>
      <c r="J10" s="9" t="s">
        <v>205</v>
      </c>
      <c r="K10" s="7" t="s">
        <v>331</v>
      </c>
      <c r="L10" s="9" t="s">
        <v>337</v>
      </c>
      <c r="M10" s="5" t="s">
        <v>108</v>
      </c>
      <c r="N10" s="5" t="s">
        <v>110</v>
      </c>
      <c r="O10" s="9" t="s">
        <v>338</v>
      </c>
      <c r="P10" s="5" t="s">
        <v>109</v>
      </c>
    </row>
    <row r="11" spans="1:16" ht="72.5" x14ac:dyDescent="0.35">
      <c r="A11" s="9">
        <v>9</v>
      </c>
      <c r="B11" s="9">
        <v>9</v>
      </c>
      <c r="C11" s="9" t="s">
        <v>336</v>
      </c>
      <c r="D11" s="9" t="s">
        <v>328</v>
      </c>
      <c r="E11" s="9" t="s">
        <v>344</v>
      </c>
      <c r="F11" s="8" t="s">
        <v>349</v>
      </c>
      <c r="G11" s="9" t="s">
        <v>342</v>
      </c>
      <c r="H11" s="14" t="s">
        <v>329</v>
      </c>
      <c r="I11" s="3" t="s">
        <v>340</v>
      </c>
      <c r="J11" s="9" t="s">
        <v>205</v>
      </c>
      <c r="K11" s="7" t="s">
        <v>331</v>
      </c>
      <c r="L11" s="9" t="s">
        <v>330</v>
      </c>
      <c r="M11" s="5" t="s">
        <v>108</v>
      </c>
      <c r="N11" s="5" t="s">
        <v>110</v>
      </c>
      <c r="O11" s="9" t="s">
        <v>341</v>
      </c>
      <c r="P11" s="5" t="s">
        <v>109</v>
      </c>
    </row>
    <row r="12" spans="1:16" ht="72.5" x14ac:dyDescent="0.35">
      <c r="A12" s="9">
        <v>10</v>
      </c>
      <c r="B12" s="9">
        <v>10</v>
      </c>
      <c r="C12" s="9" t="s">
        <v>347</v>
      </c>
      <c r="D12" s="9" t="s">
        <v>345</v>
      </c>
      <c r="E12" s="9" t="s">
        <v>346</v>
      </c>
      <c r="F12" s="8" t="s">
        <v>350</v>
      </c>
      <c r="G12" s="9" t="s">
        <v>342</v>
      </c>
      <c r="H12" s="8" t="s">
        <v>351</v>
      </c>
      <c r="I12" s="7" t="s">
        <v>353</v>
      </c>
      <c r="J12" s="9" t="s">
        <v>205</v>
      </c>
      <c r="K12" s="7" t="s">
        <v>331</v>
      </c>
      <c r="L12" s="9" t="s">
        <v>330</v>
      </c>
      <c r="M12" s="5" t="s">
        <v>108</v>
      </c>
      <c r="N12" s="5" t="s">
        <v>110</v>
      </c>
      <c r="O12" s="9" t="s">
        <v>352</v>
      </c>
      <c r="P12" s="5" t="s">
        <v>109</v>
      </c>
    </row>
    <row r="13" spans="1:16" x14ac:dyDescent="0.35">
      <c r="B13" s="9"/>
      <c r="F13" s="2"/>
      <c r="H13" s="2"/>
      <c r="I13" s="3"/>
    </row>
    <row r="14" spans="1:16" x14ac:dyDescent="0.35">
      <c r="B14" s="9"/>
      <c r="F14" s="2"/>
      <c r="H14" s="2"/>
      <c r="I14" s="3"/>
    </row>
    <row r="15" spans="1:16" x14ac:dyDescent="0.35">
      <c r="B15" s="9"/>
      <c r="F15" s="2"/>
      <c r="H15" s="2"/>
      <c r="I15" s="3"/>
    </row>
    <row r="16" spans="1:16" x14ac:dyDescent="0.35">
      <c r="B16" s="9"/>
      <c r="F16" s="2"/>
      <c r="H16" s="2"/>
      <c r="I16" s="3"/>
    </row>
    <row r="17" spans="2:14" x14ac:dyDescent="0.35">
      <c r="B17" s="9"/>
      <c r="F17" s="2"/>
      <c r="H17" s="2"/>
      <c r="I17" s="3"/>
    </row>
    <row r="18" spans="2:14" x14ac:dyDescent="0.35">
      <c r="B18" s="9"/>
      <c r="F18" s="2"/>
      <c r="H18" s="2"/>
      <c r="I18" s="3"/>
    </row>
    <row r="19" spans="2:14" x14ac:dyDescent="0.35">
      <c r="B19" s="9"/>
      <c r="F19" s="2"/>
      <c r="H19" s="2"/>
      <c r="I19" s="3"/>
    </row>
    <row r="20" spans="2:14" x14ac:dyDescent="0.35">
      <c r="B20" s="9"/>
      <c r="F20" s="2"/>
      <c r="H20" s="2"/>
      <c r="I20" s="3"/>
    </row>
    <row r="21" spans="2:14" x14ac:dyDescent="0.35">
      <c r="B21" s="9"/>
      <c r="F21" s="2"/>
      <c r="I21" s="3"/>
    </row>
    <row r="22" spans="2:14" x14ac:dyDescent="0.35">
      <c r="B22" s="9"/>
      <c r="F22" s="2"/>
      <c r="I22" s="3"/>
    </row>
    <row r="23" spans="2:14" x14ac:dyDescent="0.35">
      <c r="B23" s="9"/>
      <c r="F23" s="2"/>
      <c r="N23" s="29"/>
    </row>
    <row r="24" spans="2:14" x14ac:dyDescent="0.35">
      <c r="B24" s="9"/>
      <c r="F24" s="2"/>
    </row>
    <row r="25" spans="2:14" x14ac:dyDescent="0.35">
      <c r="B25" s="9"/>
      <c r="F25" s="2"/>
    </row>
    <row r="26" spans="2:14" x14ac:dyDescent="0.35">
      <c r="B26" s="9"/>
    </row>
    <row r="27" spans="2:14" x14ac:dyDescent="0.35">
      <c r="B27" s="9"/>
    </row>
    <row r="28" spans="2:14" x14ac:dyDescent="0.35">
      <c r="B28" s="9"/>
    </row>
    <row r="29" spans="2:14" x14ac:dyDescent="0.35">
      <c r="B29" s="9"/>
    </row>
    <row r="30" spans="2:14" x14ac:dyDescent="0.35">
      <c r="B30" s="9"/>
    </row>
    <row r="31" spans="2:14" x14ac:dyDescent="0.35">
      <c r="B31" s="9"/>
    </row>
    <row r="32" spans="2:14" x14ac:dyDescent="0.35">
      <c r="B32" s="9"/>
    </row>
    <row r="33" spans="2:2" x14ac:dyDescent="0.35">
      <c r="B33" s="9"/>
    </row>
    <row r="34" spans="2:2" x14ac:dyDescent="0.35">
      <c r="B34" s="9"/>
    </row>
    <row r="35" spans="2:2" x14ac:dyDescent="0.35">
      <c r="B35" s="9"/>
    </row>
    <row r="36" spans="2:2" x14ac:dyDescent="0.35">
      <c r="B36" s="9"/>
    </row>
    <row r="37" spans="2:2" x14ac:dyDescent="0.35">
      <c r="B37" s="9"/>
    </row>
    <row r="38" spans="2:2" x14ac:dyDescent="0.35">
      <c r="B38" s="9"/>
    </row>
    <row r="39" spans="2:2" x14ac:dyDescent="0.35">
      <c r="B39" s="9"/>
    </row>
    <row r="40" spans="2:2" x14ac:dyDescent="0.35">
      <c r="B40" s="9"/>
    </row>
    <row r="41" spans="2:2" x14ac:dyDescent="0.35">
      <c r="B41" s="9"/>
    </row>
    <row r="42" spans="2:2" x14ac:dyDescent="0.35">
      <c r="B42" s="9"/>
    </row>
    <row r="43" spans="2:2" x14ac:dyDescent="0.35">
      <c r="B43" s="9"/>
    </row>
    <row r="44" spans="2:2" x14ac:dyDescent="0.35">
      <c r="B44" s="9"/>
    </row>
    <row r="45" spans="2:2" x14ac:dyDescent="0.35">
      <c r="B45" s="9"/>
    </row>
    <row r="46" spans="2:2" x14ac:dyDescent="0.35">
      <c r="B46" s="9"/>
    </row>
    <row r="47" spans="2:2" x14ac:dyDescent="0.35">
      <c r="B47" s="9"/>
    </row>
    <row r="48" spans="2:2" x14ac:dyDescent="0.35">
      <c r="B48" s="9"/>
    </row>
    <row r="49" spans="2:2" x14ac:dyDescent="0.35">
      <c r="B49" s="9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7028-436B-4FE2-9CD4-951DC7160D43}">
  <dimension ref="A1:N25"/>
  <sheetViews>
    <sheetView topLeftCell="A8" zoomScale="118" workbookViewId="0">
      <selection activeCell="B2" sqref="B2"/>
    </sheetView>
  </sheetViews>
  <sheetFormatPr defaultRowHeight="14.5" x14ac:dyDescent="0.35"/>
  <cols>
    <col min="1" max="1" width="20.453125" customWidth="1"/>
    <col min="4" max="4" width="19.90625" customWidth="1"/>
    <col min="7" max="7" width="18.08984375" customWidth="1"/>
    <col min="10" max="10" width="18.54296875" customWidth="1"/>
  </cols>
  <sheetData>
    <row r="1" spans="1:14" x14ac:dyDescent="0.35">
      <c r="A1" t="s">
        <v>10</v>
      </c>
      <c r="B1" t="s">
        <v>11</v>
      </c>
      <c r="D1" t="s">
        <v>16</v>
      </c>
    </row>
    <row r="2" spans="1:14" x14ac:dyDescent="0.35">
      <c r="A2" t="s">
        <v>0</v>
      </c>
      <c r="B2">
        <f t="shared" ref="B2:B11" si="0">AVERAGE(B15,E15,H15,K15,N15)</f>
        <v>18.399999999999999</v>
      </c>
      <c r="D2">
        <v>1</v>
      </c>
    </row>
    <row r="3" spans="1:14" x14ac:dyDescent="0.35">
      <c r="A3" t="s">
        <v>1</v>
      </c>
      <c r="B3">
        <f t="shared" si="0"/>
        <v>11.2</v>
      </c>
      <c r="D3">
        <v>2</v>
      </c>
    </row>
    <row r="4" spans="1:14" x14ac:dyDescent="0.35">
      <c r="A4" t="s">
        <v>2</v>
      </c>
      <c r="B4">
        <f t="shared" si="0"/>
        <v>10.6</v>
      </c>
      <c r="D4">
        <v>3</v>
      </c>
    </row>
    <row r="5" spans="1:14" x14ac:dyDescent="0.35">
      <c r="A5" t="s">
        <v>3</v>
      </c>
      <c r="B5">
        <f t="shared" si="0"/>
        <v>11.6</v>
      </c>
      <c r="D5">
        <v>4</v>
      </c>
    </row>
    <row r="6" spans="1:14" x14ac:dyDescent="0.35">
      <c r="A6" t="s">
        <v>4</v>
      </c>
      <c r="B6">
        <f t="shared" si="0"/>
        <v>14.2</v>
      </c>
      <c r="D6">
        <v>5</v>
      </c>
    </row>
    <row r="7" spans="1:14" x14ac:dyDescent="0.35">
      <c r="A7" t="s">
        <v>5</v>
      </c>
      <c r="B7">
        <f t="shared" si="0"/>
        <v>7.2</v>
      </c>
      <c r="D7">
        <v>6</v>
      </c>
    </row>
    <row r="8" spans="1:14" x14ac:dyDescent="0.35">
      <c r="A8" t="s">
        <v>6</v>
      </c>
      <c r="B8">
        <f t="shared" si="0"/>
        <v>7</v>
      </c>
      <c r="D8">
        <v>7</v>
      </c>
    </row>
    <row r="9" spans="1:14" x14ac:dyDescent="0.35">
      <c r="A9" t="s">
        <v>7</v>
      </c>
      <c r="B9">
        <f t="shared" si="0"/>
        <v>6</v>
      </c>
      <c r="D9">
        <v>8</v>
      </c>
    </row>
    <row r="10" spans="1:14" x14ac:dyDescent="0.35">
      <c r="A10" t="s">
        <v>8</v>
      </c>
      <c r="B10">
        <f t="shared" si="0"/>
        <v>7</v>
      </c>
      <c r="D10">
        <v>9</v>
      </c>
    </row>
    <row r="11" spans="1:14" x14ac:dyDescent="0.35">
      <c r="A11" t="s">
        <v>9</v>
      </c>
      <c r="B11">
        <f t="shared" si="0"/>
        <v>6.8</v>
      </c>
      <c r="D11">
        <v>10</v>
      </c>
    </row>
    <row r="12" spans="1:14" x14ac:dyDescent="0.35">
      <c r="B12">
        <f>SUM(B2:B11)</f>
        <v>100</v>
      </c>
    </row>
    <row r="13" spans="1:14" x14ac:dyDescent="0.35">
      <c r="A13" t="s">
        <v>12</v>
      </c>
      <c r="D13" t="s">
        <v>13</v>
      </c>
      <c r="G13" t="s">
        <v>14</v>
      </c>
      <c r="J13" t="s">
        <v>15</v>
      </c>
    </row>
    <row r="14" spans="1:14" x14ac:dyDescent="0.35">
      <c r="A14" t="s">
        <v>10</v>
      </c>
      <c r="B14" t="s">
        <v>11</v>
      </c>
      <c r="D14" t="s">
        <v>10</v>
      </c>
      <c r="E14" t="s">
        <v>11</v>
      </c>
      <c r="G14" t="s">
        <v>10</v>
      </c>
      <c r="H14" t="s">
        <v>11</v>
      </c>
      <c r="J14" t="s">
        <v>10</v>
      </c>
      <c r="K14" t="s">
        <v>11</v>
      </c>
      <c r="M14" t="s">
        <v>10</v>
      </c>
      <c r="N14" t="s">
        <v>11</v>
      </c>
    </row>
    <row r="15" spans="1:14" x14ac:dyDescent="0.35">
      <c r="A15" t="s">
        <v>0</v>
      </c>
      <c r="B15">
        <v>22</v>
      </c>
      <c r="D15" t="s">
        <v>0</v>
      </c>
      <c r="E15">
        <v>25</v>
      </c>
      <c r="G15" t="s">
        <v>0</v>
      </c>
      <c r="H15">
        <v>20</v>
      </c>
      <c r="J15" t="s">
        <v>0</v>
      </c>
      <c r="K15">
        <v>13</v>
      </c>
      <c r="M15" t="s">
        <v>0</v>
      </c>
      <c r="N15">
        <v>12</v>
      </c>
    </row>
    <row r="16" spans="1:14" x14ac:dyDescent="0.35">
      <c r="A16" t="s">
        <v>1</v>
      </c>
      <c r="B16">
        <v>18</v>
      </c>
      <c r="D16" t="s">
        <v>1</v>
      </c>
      <c r="E16">
        <v>8</v>
      </c>
      <c r="G16" t="s">
        <v>1</v>
      </c>
      <c r="H16">
        <v>10</v>
      </c>
      <c r="J16" t="s">
        <v>1</v>
      </c>
      <c r="K16">
        <v>10</v>
      </c>
      <c r="M16" t="s">
        <v>1</v>
      </c>
      <c r="N16">
        <v>10</v>
      </c>
    </row>
    <row r="17" spans="1:14" x14ac:dyDescent="0.35">
      <c r="A17" t="s">
        <v>2</v>
      </c>
      <c r="B17">
        <v>12</v>
      </c>
      <c r="D17" t="s">
        <v>2</v>
      </c>
      <c r="E17">
        <v>10</v>
      </c>
      <c r="G17" t="s">
        <v>2</v>
      </c>
      <c r="H17">
        <v>15</v>
      </c>
      <c r="J17" t="s">
        <v>2</v>
      </c>
      <c r="K17">
        <v>5</v>
      </c>
      <c r="M17" t="s">
        <v>2</v>
      </c>
      <c r="N17">
        <v>11</v>
      </c>
    </row>
    <row r="18" spans="1:14" x14ac:dyDescent="0.35">
      <c r="A18" t="s">
        <v>3</v>
      </c>
      <c r="B18">
        <v>8</v>
      </c>
      <c r="D18" t="s">
        <v>3</v>
      </c>
      <c r="E18">
        <v>20</v>
      </c>
      <c r="G18" t="s">
        <v>3</v>
      </c>
      <c r="H18">
        <v>15</v>
      </c>
      <c r="J18" t="s">
        <v>3</v>
      </c>
      <c r="K18">
        <v>5</v>
      </c>
      <c r="M18" t="s">
        <v>3</v>
      </c>
      <c r="N18">
        <v>10</v>
      </c>
    </row>
    <row r="19" spans="1:14" x14ac:dyDescent="0.35">
      <c r="A19" t="s">
        <v>4</v>
      </c>
      <c r="B19">
        <v>10</v>
      </c>
      <c r="D19" t="s">
        <v>4</v>
      </c>
      <c r="E19">
        <v>15</v>
      </c>
      <c r="G19" t="s">
        <v>4</v>
      </c>
      <c r="H19">
        <v>6</v>
      </c>
      <c r="J19" t="s">
        <v>4</v>
      </c>
      <c r="K19">
        <v>20</v>
      </c>
      <c r="M19" t="s">
        <v>4</v>
      </c>
      <c r="N19">
        <v>20</v>
      </c>
    </row>
    <row r="20" spans="1:14" x14ac:dyDescent="0.35">
      <c r="A20" t="s">
        <v>5</v>
      </c>
      <c r="B20">
        <v>8</v>
      </c>
      <c r="D20" t="s">
        <v>5</v>
      </c>
      <c r="E20">
        <v>2</v>
      </c>
      <c r="G20" t="s">
        <v>5</v>
      </c>
      <c r="H20">
        <v>6</v>
      </c>
      <c r="J20" t="s">
        <v>5</v>
      </c>
      <c r="K20">
        <v>10</v>
      </c>
      <c r="M20" t="s">
        <v>5</v>
      </c>
      <c r="N20">
        <v>10</v>
      </c>
    </row>
    <row r="21" spans="1:14" x14ac:dyDescent="0.35">
      <c r="A21" t="s">
        <v>6</v>
      </c>
      <c r="B21">
        <v>6</v>
      </c>
      <c r="D21" t="s">
        <v>6</v>
      </c>
      <c r="E21">
        <v>5</v>
      </c>
      <c r="G21" t="s">
        <v>6</v>
      </c>
      <c r="H21">
        <v>10</v>
      </c>
      <c r="J21" t="s">
        <v>6</v>
      </c>
      <c r="K21">
        <v>7</v>
      </c>
      <c r="M21" t="s">
        <v>6</v>
      </c>
      <c r="N21">
        <v>7</v>
      </c>
    </row>
    <row r="22" spans="1:14" x14ac:dyDescent="0.35">
      <c r="A22" t="s">
        <v>7</v>
      </c>
      <c r="B22">
        <v>5</v>
      </c>
      <c r="D22" t="s">
        <v>7</v>
      </c>
      <c r="E22">
        <v>5</v>
      </c>
      <c r="G22" t="s">
        <v>7</v>
      </c>
      <c r="H22">
        <v>5</v>
      </c>
      <c r="J22" t="s">
        <v>7</v>
      </c>
      <c r="K22">
        <v>10</v>
      </c>
      <c r="M22" t="s">
        <v>7</v>
      </c>
      <c r="N22">
        <v>5</v>
      </c>
    </row>
    <row r="23" spans="1:14" x14ac:dyDescent="0.35">
      <c r="A23" t="s">
        <v>8</v>
      </c>
      <c r="B23">
        <v>5</v>
      </c>
      <c r="D23" t="s">
        <v>8</v>
      </c>
      <c r="E23">
        <v>5</v>
      </c>
      <c r="G23" t="s">
        <v>8</v>
      </c>
      <c r="H23">
        <v>5</v>
      </c>
      <c r="J23" t="s">
        <v>8</v>
      </c>
      <c r="K23">
        <v>10</v>
      </c>
      <c r="M23" t="s">
        <v>8</v>
      </c>
      <c r="N23">
        <v>10</v>
      </c>
    </row>
    <row r="24" spans="1:14" x14ac:dyDescent="0.35">
      <c r="A24" t="s">
        <v>9</v>
      </c>
      <c r="B24">
        <v>6</v>
      </c>
      <c r="D24" t="s">
        <v>9</v>
      </c>
      <c r="E24">
        <v>5</v>
      </c>
      <c r="G24" t="s">
        <v>9</v>
      </c>
      <c r="H24">
        <v>8</v>
      </c>
      <c r="J24" t="s">
        <v>9</v>
      </c>
      <c r="K24">
        <v>10</v>
      </c>
      <c r="M24" t="s">
        <v>9</v>
      </c>
      <c r="N24">
        <v>5</v>
      </c>
    </row>
    <row r="25" spans="1:14" x14ac:dyDescent="0.35">
      <c r="B25">
        <f>SUM(B15:B24)</f>
        <v>100</v>
      </c>
      <c r="E25">
        <f>SUM(E15:E24)</f>
        <v>100</v>
      </c>
      <c r="H25">
        <f>SUM(H15:H24)</f>
        <v>100</v>
      </c>
      <c r="K25">
        <f>SUM(K15:K24)</f>
        <v>100</v>
      </c>
      <c r="N25">
        <f>SUM(N15:N24)</f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7EEF9-7F2E-4545-9951-0F532151B120}">
  <dimension ref="A1:U27"/>
  <sheetViews>
    <sheetView topLeftCell="F11" zoomScale="117" workbookViewId="0">
      <selection activeCell="J27" sqref="J27"/>
    </sheetView>
  </sheetViews>
  <sheetFormatPr defaultRowHeight="14.5" x14ac:dyDescent="0.35"/>
  <cols>
    <col min="1" max="1" width="20.81640625" customWidth="1"/>
    <col min="3" max="3" width="25" customWidth="1"/>
    <col min="6" max="6" width="26" customWidth="1"/>
    <col min="10" max="10" width="15" customWidth="1"/>
    <col min="14" max="14" width="18.81640625" customWidth="1"/>
    <col min="18" max="18" width="15" customWidth="1"/>
    <col min="21" max="21" width="19.90625" customWidth="1"/>
  </cols>
  <sheetData>
    <row r="1" spans="1:21" x14ac:dyDescent="0.35">
      <c r="A1" s="1" t="s">
        <v>10</v>
      </c>
      <c r="B1" s="1" t="s">
        <v>11</v>
      </c>
      <c r="C1" s="1" t="s">
        <v>18</v>
      </c>
      <c r="E1" t="s">
        <v>17</v>
      </c>
      <c r="U1" t="s">
        <v>40</v>
      </c>
    </row>
    <row r="2" spans="1:21" x14ac:dyDescent="0.35">
      <c r="A2" s="1" t="s">
        <v>0</v>
      </c>
      <c r="B2" s="1">
        <f>Ressponden!B2</f>
        <v>18.399999999999999</v>
      </c>
      <c r="C2" s="1" t="s">
        <v>19</v>
      </c>
      <c r="U2" t="s">
        <v>64</v>
      </c>
    </row>
    <row r="3" spans="1:21" x14ac:dyDescent="0.35">
      <c r="A3" s="1" t="s">
        <v>1</v>
      </c>
      <c r="B3" s="1">
        <f>Ressponden!B3</f>
        <v>11.2</v>
      </c>
      <c r="C3" s="1" t="s">
        <v>20</v>
      </c>
      <c r="E3" t="s">
        <v>19</v>
      </c>
      <c r="F3" t="s">
        <v>30</v>
      </c>
      <c r="I3" t="s">
        <v>22</v>
      </c>
      <c r="J3" t="s">
        <v>3</v>
      </c>
      <c r="M3" t="s">
        <v>25</v>
      </c>
      <c r="N3" t="s">
        <v>40</v>
      </c>
      <c r="U3" t="s">
        <v>65</v>
      </c>
    </row>
    <row r="4" spans="1:21" x14ac:dyDescent="0.35">
      <c r="A4" s="1" t="s">
        <v>2</v>
      </c>
      <c r="B4" s="1">
        <f>Ressponden!B4</f>
        <v>10.6</v>
      </c>
      <c r="C4" s="1" t="s">
        <v>21</v>
      </c>
      <c r="F4" t="s">
        <v>29</v>
      </c>
      <c r="G4" t="s">
        <v>11</v>
      </c>
      <c r="J4" t="s">
        <v>29</v>
      </c>
      <c r="K4" t="s">
        <v>11</v>
      </c>
      <c r="N4" t="s">
        <v>29</v>
      </c>
      <c r="O4" t="s">
        <v>11</v>
      </c>
      <c r="U4" t="s">
        <v>137</v>
      </c>
    </row>
    <row r="5" spans="1:21" x14ac:dyDescent="0.35">
      <c r="A5" s="1" t="s">
        <v>3</v>
      </c>
      <c r="B5" s="1">
        <f>Ressponden!B5</f>
        <v>11.6</v>
      </c>
      <c r="C5" s="1" t="s">
        <v>22</v>
      </c>
      <c r="F5" t="s">
        <v>31</v>
      </c>
      <c r="G5">
        <v>1</v>
      </c>
      <c r="J5" t="s">
        <v>51</v>
      </c>
      <c r="K5">
        <v>1</v>
      </c>
      <c r="N5">
        <v>1</v>
      </c>
      <c r="O5">
        <v>1</v>
      </c>
      <c r="U5" t="s">
        <v>66</v>
      </c>
    </row>
    <row r="6" spans="1:21" x14ac:dyDescent="0.35">
      <c r="A6" s="1" t="s">
        <v>4</v>
      </c>
      <c r="B6" s="1">
        <f>Ressponden!B6</f>
        <v>14.2</v>
      </c>
      <c r="C6" s="1" t="s">
        <v>23</v>
      </c>
      <c r="F6" t="s">
        <v>32</v>
      </c>
      <c r="G6">
        <v>2</v>
      </c>
      <c r="J6" t="s">
        <v>52</v>
      </c>
      <c r="K6">
        <v>2</v>
      </c>
      <c r="N6">
        <v>2</v>
      </c>
      <c r="O6">
        <v>2</v>
      </c>
      <c r="U6" t="s">
        <v>136</v>
      </c>
    </row>
    <row r="7" spans="1:21" x14ac:dyDescent="0.35">
      <c r="A7" s="1" t="s">
        <v>5</v>
      </c>
      <c r="B7" s="1">
        <f>Ressponden!B7</f>
        <v>7.2</v>
      </c>
      <c r="C7" s="1" t="s">
        <v>24</v>
      </c>
      <c r="F7" t="s">
        <v>33</v>
      </c>
      <c r="G7">
        <v>3</v>
      </c>
      <c r="J7" t="s">
        <v>53</v>
      </c>
      <c r="K7">
        <v>3</v>
      </c>
      <c r="N7">
        <v>3</v>
      </c>
      <c r="O7">
        <v>3</v>
      </c>
    </row>
    <row r="8" spans="1:21" x14ac:dyDescent="0.35">
      <c r="A8" s="1" t="s">
        <v>6</v>
      </c>
      <c r="B8" s="1">
        <f>Ressponden!B8</f>
        <v>7</v>
      </c>
      <c r="C8" s="1" t="s">
        <v>25</v>
      </c>
      <c r="F8" t="s">
        <v>34</v>
      </c>
      <c r="G8">
        <v>4</v>
      </c>
      <c r="J8" t="s">
        <v>54</v>
      </c>
      <c r="K8">
        <v>4</v>
      </c>
      <c r="N8">
        <v>4</v>
      </c>
      <c r="O8">
        <v>4</v>
      </c>
      <c r="U8" t="s">
        <v>1</v>
      </c>
    </row>
    <row r="9" spans="1:21" x14ac:dyDescent="0.35">
      <c r="A9" s="1" t="s">
        <v>7</v>
      </c>
      <c r="B9" s="1">
        <f>Ressponden!B9</f>
        <v>6</v>
      </c>
      <c r="C9" s="1" t="s">
        <v>26</v>
      </c>
      <c r="F9" t="s">
        <v>35</v>
      </c>
      <c r="G9">
        <v>5</v>
      </c>
      <c r="J9" t="s">
        <v>55</v>
      </c>
      <c r="K9">
        <v>5</v>
      </c>
      <c r="N9">
        <v>5</v>
      </c>
      <c r="O9">
        <v>5</v>
      </c>
      <c r="U9" t="s">
        <v>134</v>
      </c>
    </row>
    <row r="10" spans="1:21" x14ac:dyDescent="0.35">
      <c r="A10" s="1" t="s">
        <v>8</v>
      </c>
      <c r="B10" s="1">
        <f>Ressponden!B10</f>
        <v>7</v>
      </c>
      <c r="C10" s="1" t="s">
        <v>27</v>
      </c>
      <c r="U10" t="s">
        <v>72</v>
      </c>
    </row>
    <row r="11" spans="1:21" x14ac:dyDescent="0.35">
      <c r="A11" s="1" t="s">
        <v>9</v>
      </c>
      <c r="B11" s="1">
        <f>Ressponden!B11</f>
        <v>6.8</v>
      </c>
      <c r="C11" s="1" t="s">
        <v>28</v>
      </c>
      <c r="E11" t="s">
        <v>20</v>
      </c>
      <c r="F11" s="1" t="s">
        <v>1</v>
      </c>
      <c r="I11" t="s">
        <v>23</v>
      </c>
      <c r="J11" t="s">
        <v>4</v>
      </c>
      <c r="M11" t="s">
        <v>26</v>
      </c>
      <c r="N11" t="s">
        <v>41</v>
      </c>
      <c r="Q11" t="s">
        <v>28</v>
      </c>
      <c r="R11" t="s">
        <v>43</v>
      </c>
      <c r="U11" t="s">
        <v>73</v>
      </c>
    </row>
    <row r="12" spans="1:21" x14ac:dyDescent="0.35">
      <c r="B12">
        <f>Ressponden!B12</f>
        <v>100</v>
      </c>
      <c r="F12" t="s">
        <v>29</v>
      </c>
      <c r="G12" t="s">
        <v>11</v>
      </c>
      <c r="J12" t="s">
        <v>29</v>
      </c>
      <c r="K12" t="s">
        <v>11</v>
      </c>
      <c r="N12" t="s">
        <v>29</v>
      </c>
      <c r="O12" t="s">
        <v>11</v>
      </c>
      <c r="R12" t="s">
        <v>29</v>
      </c>
      <c r="S12" t="s">
        <v>11</v>
      </c>
      <c r="U12" t="s">
        <v>74</v>
      </c>
    </row>
    <row r="13" spans="1:21" x14ac:dyDescent="0.35">
      <c r="F13" t="s">
        <v>140</v>
      </c>
      <c r="G13">
        <v>1</v>
      </c>
      <c r="J13" t="s">
        <v>56</v>
      </c>
      <c r="K13">
        <v>1</v>
      </c>
      <c r="N13" t="s">
        <v>205</v>
      </c>
      <c r="O13">
        <v>1</v>
      </c>
      <c r="R13" t="s">
        <v>68</v>
      </c>
      <c r="S13">
        <v>1</v>
      </c>
      <c r="U13" t="s">
        <v>75</v>
      </c>
    </row>
    <row r="14" spans="1:21" x14ac:dyDescent="0.35">
      <c r="F14" t="s">
        <v>209</v>
      </c>
      <c r="G14">
        <v>2</v>
      </c>
      <c r="J14" t="s">
        <v>142</v>
      </c>
      <c r="K14">
        <v>2</v>
      </c>
      <c r="N14" t="s">
        <v>204</v>
      </c>
      <c r="O14">
        <v>2</v>
      </c>
      <c r="R14" t="s">
        <v>69</v>
      </c>
      <c r="S14">
        <v>2</v>
      </c>
      <c r="U14" t="s">
        <v>76</v>
      </c>
    </row>
    <row r="15" spans="1:21" x14ac:dyDescent="0.35">
      <c r="F15" t="s">
        <v>210</v>
      </c>
      <c r="G15">
        <v>3</v>
      </c>
      <c r="J15" t="s">
        <v>57</v>
      </c>
      <c r="K15">
        <v>3</v>
      </c>
      <c r="N15" t="s">
        <v>67</v>
      </c>
      <c r="O15">
        <v>3</v>
      </c>
      <c r="R15" t="s">
        <v>70</v>
      </c>
      <c r="S15">
        <v>3</v>
      </c>
      <c r="U15" t="s">
        <v>74</v>
      </c>
    </row>
    <row r="16" spans="1:21" x14ac:dyDescent="0.35">
      <c r="A16" t="s">
        <v>10</v>
      </c>
      <c r="B16" t="s">
        <v>36</v>
      </c>
      <c r="F16" t="s">
        <v>211</v>
      </c>
      <c r="G16">
        <v>4</v>
      </c>
      <c r="J16" t="s">
        <v>58</v>
      </c>
      <c r="K16">
        <v>4</v>
      </c>
      <c r="R16" t="s">
        <v>71</v>
      </c>
      <c r="S16">
        <v>4</v>
      </c>
      <c r="U16" t="s">
        <v>135</v>
      </c>
    </row>
    <row r="17" spans="1:21" ht="43.5" x14ac:dyDescent="0.35">
      <c r="A17" t="s">
        <v>0</v>
      </c>
      <c r="B17" t="s">
        <v>37</v>
      </c>
      <c r="C17" t="s">
        <v>44</v>
      </c>
      <c r="F17" t="s">
        <v>141</v>
      </c>
      <c r="G17">
        <v>5</v>
      </c>
      <c r="J17" s="3" t="s">
        <v>143</v>
      </c>
      <c r="K17">
        <v>5</v>
      </c>
      <c r="U17" t="s">
        <v>138</v>
      </c>
    </row>
    <row r="18" spans="1:21" x14ac:dyDescent="0.35">
      <c r="A18" t="s">
        <v>1</v>
      </c>
      <c r="B18" t="s">
        <v>38</v>
      </c>
      <c r="C18" t="s">
        <v>45</v>
      </c>
      <c r="M18" t="s">
        <v>27</v>
      </c>
      <c r="N18" t="s">
        <v>42</v>
      </c>
      <c r="U18" t="s">
        <v>139</v>
      </c>
    </row>
    <row r="19" spans="1:21" x14ac:dyDescent="0.35">
      <c r="A19" t="s">
        <v>2</v>
      </c>
      <c r="B19" t="s">
        <v>38</v>
      </c>
      <c r="C19" t="s">
        <v>45</v>
      </c>
      <c r="N19" t="s">
        <v>29</v>
      </c>
      <c r="O19" t="s">
        <v>11</v>
      </c>
    </row>
    <row r="20" spans="1:21" x14ac:dyDescent="0.35">
      <c r="A20" t="s">
        <v>3</v>
      </c>
      <c r="B20" t="s">
        <v>37</v>
      </c>
      <c r="C20" t="s">
        <v>44</v>
      </c>
      <c r="N20" t="s">
        <v>205</v>
      </c>
      <c r="O20">
        <v>1</v>
      </c>
    </row>
    <row r="21" spans="1:21" x14ac:dyDescent="0.35">
      <c r="A21" t="s">
        <v>4</v>
      </c>
      <c r="B21" t="s">
        <v>38</v>
      </c>
      <c r="C21" t="s">
        <v>45</v>
      </c>
      <c r="E21" t="s">
        <v>21</v>
      </c>
      <c r="F21" t="s">
        <v>2</v>
      </c>
      <c r="I21" t="s">
        <v>24</v>
      </c>
      <c r="J21" t="s">
        <v>5</v>
      </c>
      <c r="N21" t="s">
        <v>204</v>
      </c>
      <c r="O21">
        <v>2</v>
      </c>
    </row>
    <row r="22" spans="1:21" x14ac:dyDescent="0.35">
      <c r="A22" t="s">
        <v>5</v>
      </c>
      <c r="B22" t="s">
        <v>37</v>
      </c>
      <c r="C22" t="s">
        <v>44</v>
      </c>
      <c r="F22" t="s">
        <v>39</v>
      </c>
      <c r="G22" t="s">
        <v>11</v>
      </c>
      <c r="J22" t="s">
        <v>29</v>
      </c>
      <c r="K22" t="s">
        <v>11</v>
      </c>
      <c r="N22" t="s">
        <v>67</v>
      </c>
      <c r="O22">
        <v>3</v>
      </c>
    </row>
    <row r="23" spans="1:21" x14ac:dyDescent="0.35">
      <c r="A23" t="s">
        <v>6</v>
      </c>
      <c r="B23" t="s">
        <v>38</v>
      </c>
      <c r="C23" t="s">
        <v>45</v>
      </c>
      <c r="F23" t="s">
        <v>50</v>
      </c>
      <c r="G23">
        <v>1</v>
      </c>
      <c r="J23" t="s">
        <v>59</v>
      </c>
      <c r="K23">
        <v>1</v>
      </c>
    </row>
    <row r="24" spans="1:21" x14ac:dyDescent="0.35">
      <c r="A24" t="s">
        <v>7</v>
      </c>
      <c r="B24" t="s">
        <v>38</v>
      </c>
      <c r="C24" t="s">
        <v>45</v>
      </c>
      <c r="F24" t="s">
        <v>46</v>
      </c>
      <c r="G24">
        <v>2</v>
      </c>
      <c r="J24" t="s">
        <v>60</v>
      </c>
      <c r="K24">
        <v>2</v>
      </c>
    </row>
    <row r="25" spans="1:21" x14ac:dyDescent="0.35">
      <c r="A25" t="s">
        <v>8</v>
      </c>
      <c r="B25" t="s">
        <v>38</v>
      </c>
      <c r="C25" t="s">
        <v>45</v>
      </c>
      <c r="F25" t="s">
        <v>47</v>
      </c>
      <c r="G25">
        <v>3</v>
      </c>
      <c r="J25" t="s">
        <v>61</v>
      </c>
      <c r="K25">
        <v>3</v>
      </c>
    </row>
    <row r="26" spans="1:21" x14ac:dyDescent="0.35">
      <c r="A26" t="s">
        <v>9</v>
      </c>
      <c r="B26" t="s">
        <v>38</v>
      </c>
      <c r="C26" t="s">
        <v>45</v>
      </c>
      <c r="F26" t="s">
        <v>48</v>
      </c>
      <c r="G26">
        <v>4</v>
      </c>
      <c r="J26" t="s">
        <v>62</v>
      </c>
      <c r="K26">
        <v>4</v>
      </c>
    </row>
    <row r="27" spans="1:21" x14ac:dyDescent="0.35">
      <c r="A27" t="s">
        <v>354</v>
      </c>
      <c r="B27" t="s">
        <v>38</v>
      </c>
      <c r="C27" t="s">
        <v>45</v>
      </c>
      <c r="F27" t="s">
        <v>49</v>
      </c>
      <c r="G27">
        <v>5</v>
      </c>
      <c r="J27" t="s">
        <v>63</v>
      </c>
      <c r="K27">
        <v>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1C62-8752-4999-BB16-F79297149C3E}">
  <dimension ref="A1:V112"/>
  <sheetViews>
    <sheetView tabSelected="1" topLeftCell="A4" zoomScale="88" workbookViewId="0">
      <selection activeCell="B39" sqref="B39"/>
    </sheetView>
  </sheetViews>
  <sheetFormatPr defaultRowHeight="14.5" x14ac:dyDescent="0.35"/>
  <cols>
    <col min="1" max="1" width="19.6328125" customWidth="1"/>
    <col min="2" max="2" width="18.81640625" customWidth="1"/>
    <col min="3" max="4" width="10.1796875" customWidth="1"/>
    <col min="5" max="5" width="20.453125" customWidth="1"/>
    <col min="7" max="7" width="27.453125" customWidth="1"/>
    <col min="8" max="8" width="10.54296875" customWidth="1"/>
    <col min="9" max="9" width="11.08984375" customWidth="1"/>
    <col min="10" max="10" width="14.453125" customWidth="1"/>
    <col min="11" max="11" width="15.81640625" customWidth="1"/>
    <col min="12" max="12" width="13" customWidth="1"/>
    <col min="13" max="13" width="11.453125" customWidth="1"/>
    <col min="15" max="15" width="20.1796875" customWidth="1"/>
    <col min="19" max="19" width="17.453125" customWidth="1"/>
  </cols>
  <sheetData>
    <row r="1" spans="1:22" x14ac:dyDescent="0.35">
      <c r="A1" t="s">
        <v>172</v>
      </c>
      <c r="F1" t="s">
        <v>187</v>
      </c>
      <c r="V1" t="s">
        <v>40</v>
      </c>
    </row>
    <row r="2" spans="1:22" x14ac:dyDescent="0.35">
      <c r="A2" s="9" t="s">
        <v>173</v>
      </c>
      <c r="B2" s="9" t="s">
        <v>196</v>
      </c>
      <c r="V2" t="s">
        <v>64</v>
      </c>
    </row>
    <row r="3" spans="1:22" x14ac:dyDescent="0.35">
      <c r="A3" s="9" t="s">
        <v>19</v>
      </c>
      <c r="B3" s="17" t="s">
        <v>0</v>
      </c>
      <c r="F3" t="s">
        <v>19</v>
      </c>
      <c r="G3" t="s">
        <v>30</v>
      </c>
      <c r="J3" t="s">
        <v>22</v>
      </c>
      <c r="K3" t="s">
        <v>3</v>
      </c>
      <c r="N3" t="s">
        <v>25</v>
      </c>
      <c r="O3" t="s">
        <v>40</v>
      </c>
      <c r="V3" t="s">
        <v>65</v>
      </c>
    </row>
    <row r="4" spans="1:22" x14ac:dyDescent="0.35">
      <c r="A4" s="9" t="s">
        <v>20</v>
      </c>
      <c r="B4" s="17" t="s">
        <v>1</v>
      </c>
      <c r="G4" t="s">
        <v>29</v>
      </c>
      <c r="H4" t="s">
        <v>11</v>
      </c>
      <c r="K4" t="s">
        <v>29</v>
      </c>
      <c r="L4" t="s">
        <v>11</v>
      </c>
      <c r="O4" t="s">
        <v>29</v>
      </c>
      <c r="P4" t="s">
        <v>11</v>
      </c>
      <c r="V4" t="s">
        <v>137</v>
      </c>
    </row>
    <row r="5" spans="1:22" x14ac:dyDescent="0.35">
      <c r="A5" s="9" t="s">
        <v>21</v>
      </c>
      <c r="B5" s="17" t="s">
        <v>2</v>
      </c>
      <c r="G5" t="s">
        <v>31</v>
      </c>
      <c r="H5">
        <v>1</v>
      </c>
      <c r="K5" t="s">
        <v>51</v>
      </c>
      <c r="L5">
        <v>1</v>
      </c>
      <c r="O5" t="s">
        <v>227</v>
      </c>
      <c r="P5">
        <v>1</v>
      </c>
      <c r="V5" t="s">
        <v>66</v>
      </c>
    </row>
    <row r="6" spans="1:22" x14ac:dyDescent="0.35">
      <c r="A6" s="9" t="s">
        <v>22</v>
      </c>
      <c r="B6" s="17" t="s">
        <v>3</v>
      </c>
      <c r="G6" t="s">
        <v>200</v>
      </c>
      <c r="H6">
        <v>2</v>
      </c>
      <c r="K6" t="s">
        <v>52</v>
      </c>
      <c r="L6">
        <v>2</v>
      </c>
      <c r="O6">
        <v>2</v>
      </c>
      <c r="P6">
        <v>2</v>
      </c>
      <c r="V6" t="s">
        <v>136</v>
      </c>
    </row>
    <row r="7" spans="1:22" x14ac:dyDescent="0.35">
      <c r="A7" s="9" t="s">
        <v>23</v>
      </c>
      <c r="B7" s="17" t="s">
        <v>4</v>
      </c>
      <c r="G7" t="s">
        <v>201</v>
      </c>
      <c r="H7">
        <v>3</v>
      </c>
      <c r="K7" t="s">
        <v>53</v>
      </c>
      <c r="L7">
        <v>3</v>
      </c>
      <c r="O7">
        <v>3</v>
      </c>
      <c r="P7">
        <v>3</v>
      </c>
    </row>
    <row r="8" spans="1:22" x14ac:dyDescent="0.35">
      <c r="A8" s="9" t="s">
        <v>24</v>
      </c>
      <c r="B8" s="17" t="s">
        <v>5</v>
      </c>
      <c r="G8" t="s">
        <v>202</v>
      </c>
      <c r="H8">
        <v>4</v>
      </c>
      <c r="K8" t="s">
        <v>54</v>
      </c>
      <c r="L8">
        <v>4</v>
      </c>
      <c r="O8">
        <v>4</v>
      </c>
      <c r="P8">
        <v>4</v>
      </c>
    </row>
    <row r="9" spans="1:22" x14ac:dyDescent="0.35">
      <c r="A9" s="9" t="s">
        <v>25</v>
      </c>
      <c r="B9" s="17" t="s">
        <v>6</v>
      </c>
      <c r="G9" t="s">
        <v>35</v>
      </c>
      <c r="H9">
        <v>5</v>
      </c>
      <c r="K9" t="s">
        <v>55</v>
      </c>
      <c r="L9">
        <v>5</v>
      </c>
      <c r="O9">
        <v>5</v>
      </c>
      <c r="P9">
        <v>5</v>
      </c>
    </row>
    <row r="10" spans="1:22" x14ac:dyDescent="0.35">
      <c r="A10" s="9" t="s">
        <v>26</v>
      </c>
      <c r="B10" s="17" t="s">
        <v>7</v>
      </c>
    </row>
    <row r="11" spans="1:22" x14ac:dyDescent="0.35">
      <c r="A11" s="9" t="s">
        <v>27</v>
      </c>
      <c r="B11" s="17" t="s">
        <v>8</v>
      </c>
      <c r="F11" t="s">
        <v>20</v>
      </c>
      <c r="G11" s="1" t="s">
        <v>1</v>
      </c>
      <c r="J11" t="s">
        <v>23</v>
      </c>
      <c r="K11" t="s">
        <v>4</v>
      </c>
      <c r="N11" t="s">
        <v>26</v>
      </c>
      <c r="O11" t="s">
        <v>41</v>
      </c>
      <c r="R11" t="s">
        <v>28</v>
      </c>
      <c r="S11" t="s">
        <v>43</v>
      </c>
    </row>
    <row r="12" spans="1:22" x14ac:dyDescent="0.35">
      <c r="A12" s="9" t="s">
        <v>28</v>
      </c>
      <c r="B12" s="17" t="s">
        <v>9</v>
      </c>
      <c r="G12" t="s">
        <v>29</v>
      </c>
      <c r="H12" t="s">
        <v>11</v>
      </c>
      <c r="K12" t="s">
        <v>29</v>
      </c>
      <c r="L12" t="s">
        <v>11</v>
      </c>
      <c r="O12" t="s">
        <v>29</v>
      </c>
      <c r="P12" t="s">
        <v>11</v>
      </c>
      <c r="S12" t="s">
        <v>29</v>
      </c>
      <c r="T12" t="s">
        <v>11</v>
      </c>
    </row>
    <row r="13" spans="1:22" x14ac:dyDescent="0.35">
      <c r="B13" s="15"/>
      <c r="G13" t="s">
        <v>140</v>
      </c>
      <c r="H13">
        <v>1</v>
      </c>
      <c r="K13" t="s">
        <v>56</v>
      </c>
      <c r="L13">
        <v>1</v>
      </c>
      <c r="O13" t="s">
        <v>205</v>
      </c>
      <c r="P13">
        <v>1</v>
      </c>
      <c r="S13" t="s">
        <v>68</v>
      </c>
      <c r="T13">
        <v>1</v>
      </c>
    </row>
    <row r="14" spans="1:22" x14ac:dyDescent="0.35">
      <c r="B14" s="15"/>
      <c r="G14" t="s">
        <v>209</v>
      </c>
      <c r="H14">
        <v>2</v>
      </c>
      <c r="K14" t="s">
        <v>142</v>
      </c>
      <c r="L14">
        <v>2</v>
      </c>
      <c r="O14" t="s">
        <v>204</v>
      </c>
      <c r="P14">
        <v>2</v>
      </c>
      <c r="S14" t="s">
        <v>69</v>
      </c>
      <c r="T14">
        <v>2</v>
      </c>
    </row>
    <row r="15" spans="1:22" x14ac:dyDescent="0.35">
      <c r="A15" s="18" t="s">
        <v>171</v>
      </c>
      <c r="B15" s="15"/>
      <c r="G15" t="s">
        <v>210</v>
      </c>
      <c r="H15">
        <v>3</v>
      </c>
      <c r="K15" t="s">
        <v>57</v>
      </c>
      <c r="L15">
        <v>3</v>
      </c>
      <c r="O15" t="s">
        <v>67</v>
      </c>
      <c r="P15">
        <v>3</v>
      </c>
      <c r="S15" t="s">
        <v>70</v>
      </c>
      <c r="T15">
        <v>3</v>
      </c>
    </row>
    <row r="16" spans="1:22" x14ac:dyDescent="0.35">
      <c r="A16" s="9"/>
      <c r="B16" s="15"/>
      <c r="G16" t="s">
        <v>211</v>
      </c>
      <c r="H16">
        <v>4</v>
      </c>
      <c r="K16" t="s">
        <v>58</v>
      </c>
      <c r="L16">
        <v>4</v>
      </c>
    </row>
    <row r="17" spans="1:22" ht="43.5" x14ac:dyDescent="0.35">
      <c r="A17" s="15" t="s">
        <v>173</v>
      </c>
      <c r="B17" s="15" t="s">
        <v>174</v>
      </c>
      <c r="C17" s="15" t="s">
        <v>11</v>
      </c>
      <c r="D17" s="15"/>
      <c r="G17" t="s">
        <v>141</v>
      </c>
      <c r="H17">
        <v>5</v>
      </c>
      <c r="K17" s="3" t="s">
        <v>143</v>
      </c>
      <c r="L17">
        <v>5</v>
      </c>
    </row>
    <row r="18" spans="1:22" x14ac:dyDescent="0.35">
      <c r="A18" s="9" t="s">
        <v>19</v>
      </c>
      <c r="B18" s="15" t="s">
        <v>175</v>
      </c>
      <c r="C18" s="15">
        <f>Ressponden!B2</f>
        <v>18.399999999999999</v>
      </c>
      <c r="D18" s="19">
        <f>(1/10)*(1/1+1/2+1/3+1/4+1/5+1/6+1/7+1/8+1/9+1/10)</f>
        <v>0.29289682539682538</v>
      </c>
      <c r="N18" t="s">
        <v>27</v>
      </c>
      <c r="O18" t="s">
        <v>42</v>
      </c>
      <c r="V18" t="s">
        <v>1</v>
      </c>
    </row>
    <row r="19" spans="1:22" x14ac:dyDescent="0.35">
      <c r="A19" s="9" t="s">
        <v>20</v>
      </c>
      <c r="B19" s="15" t="s">
        <v>176</v>
      </c>
      <c r="C19" s="15">
        <f>Ressponden!B3</f>
        <v>11.2</v>
      </c>
      <c r="D19" s="19">
        <f>(1/10) * (1/2 + 1/3 + 1/4 + 1/5 + 1/6 + 1/7 + 1/8 + 1/9 + 1/10)</f>
        <v>0.1928968253968254</v>
      </c>
      <c r="O19" t="s">
        <v>29</v>
      </c>
      <c r="P19" t="s">
        <v>11</v>
      </c>
      <c r="V19" t="s">
        <v>134</v>
      </c>
    </row>
    <row r="20" spans="1:22" x14ac:dyDescent="0.35">
      <c r="A20" s="9" t="s">
        <v>21</v>
      </c>
      <c r="B20" s="15" t="s">
        <v>177</v>
      </c>
      <c r="C20" s="15">
        <f>Ressponden!B4</f>
        <v>10.6</v>
      </c>
      <c r="D20" s="19">
        <f>(1/10) * (1/3 + 1/4 + 1/5 + 1/6 + 1/7 + 1/8 + 1/9 + 1/10)</f>
        <v>0.14289682539682541</v>
      </c>
      <c r="O20" t="s">
        <v>205</v>
      </c>
      <c r="P20">
        <v>1</v>
      </c>
      <c r="V20" t="s">
        <v>72</v>
      </c>
    </row>
    <row r="21" spans="1:22" x14ac:dyDescent="0.35">
      <c r="A21" s="9" t="s">
        <v>22</v>
      </c>
      <c r="B21" s="15" t="s">
        <v>178</v>
      </c>
      <c r="C21" s="15">
        <f>Ressponden!B5</f>
        <v>11.6</v>
      </c>
      <c r="D21" s="19">
        <f>(1/10) * (1/4 + 1/5 + 1/6 + 1/7 + 1/8 + 1/9 + 1/10)</f>
        <v>0.10956349206349209</v>
      </c>
      <c r="F21" t="s">
        <v>21</v>
      </c>
      <c r="G21" t="s">
        <v>2</v>
      </c>
      <c r="J21" t="s">
        <v>24</v>
      </c>
      <c r="K21" t="s">
        <v>5</v>
      </c>
      <c r="O21" t="s">
        <v>204</v>
      </c>
      <c r="P21">
        <v>2</v>
      </c>
      <c r="V21" t="s">
        <v>73</v>
      </c>
    </row>
    <row r="22" spans="1:22" x14ac:dyDescent="0.35">
      <c r="A22" s="9" t="s">
        <v>23</v>
      </c>
      <c r="B22" s="15" t="s">
        <v>179</v>
      </c>
      <c r="C22" s="15">
        <f>Ressponden!B6</f>
        <v>14.2</v>
      </c>
      <c r="D22" s="19">
        <f>(1/10) * (1/5 + 1/6 + 1/7 + 1/8 + 1/9 + 1/10)</f>
        <v>8.4563492063492063E-2</v>
      </c>
      <c r="G22" t="s">
        <v>39</v>
      </c>
      <c r="H22" t="s">
        <v>11</v>
      </c>
      <c r="K22" t="s">
        <v>29</v>
      </c>
      <c r="L22" t="s">
        <v>11</v>
      </c>
      <c r="O22" t="s">
        <v>67</v>
      </c>
      <c r="P22">
        <v>3</v>
      </c>
      <c r="V22" t="s">
        <v>74</v>
      </c>
    </row>
    <row r="23" spans="1:22" x14ac:dyDescent="0.35">
      <c r="A23" s="9" t="s">
        <v>24</v>
      </c>
      <c r="B23" s="15" t="s">
        <v>180</v>
      </c>
      <c r="C23" s="15">
        <f>Ressponden!B7</f>
        <v>7.2</v>
      </c>
      <c r="D23" s="19">
        <f>(1/10) * (1/6 + 1/7 + 1/8 + 1/9 + 1/10)</f>
        <v>6.4563492063492073E-2</v>
      </c>
      <c r="G23" t="s">
        <v>50</v>
      </c>
      <c r="H23">
        <v>1</v>
      </c>
      <c r="K23" t="s">
        <v>59</v>
      </c>
      <c r="L23">
        <v>1</v>
      </c>
      <c r="V23" t="s">
        <v>75</v>
      </c>
    </row>
    <row r="24" spans="1:22" x14ac:dyDescent="0.35">
      <c r="A24" s="9" t="s">
        <v>25</v>
      </c>
      <c r="B24" s="15" t="s">
        <v>181</v>
      </c>
      <c r="C24" s="15">
        <f>Ressponden!B8</f>
        <v>7</v>
      </c>
      <c r="D24" s="19">
        <f>(1/10) * (1/7 + 1/8 + 1/9 + 1/10)</f>
        <v>4.7896825396825396E-2</v>
      </c>
      <c r="G24" t="s">
        <v>46</v>
      </c>
      <c r="H24">
        <v>2</v>
      </c>
      <c r="K24" t="s">
        <v>60</v>
      </c>
      <c r="L24">
        <v>2</v>
      </c>
      <c r="V24" t="s">
        <v>76</v>
      </c>
    </row>
    <row r="25" spans="1:22" x14ac:dyDescent="0.35">
      <c r="A25" s="9" t="s">
        <v>26</v>
      </c>
      <c r="B25" s="15" t="s">
        <v>182</v>
      </c>
      <c r="C25" s="15">
        <f>Ressponden!B9</f>
        <v>6</v>
      </c>
      <c r="D25" s="19">
        <f>(1/10) * (1/8 + 1/9 + 1/10)</f>
        <v>3.3611111111111112E-2</v>
      </c>
      <c r="G25" t="s">
        <v>47</v>
      </c>
      <c r="H25">
        <v>3</v>
      </c>
      <c r="K25" t="s">
        <v>61</v>
      </c>
      <c r="L25">
        <v>3</v>
      </c>
      <c r="V25" t="s">
        <v>228</v>
      </c>
    </row>
    <row r="26" spans="1:22" x14ac:dyDescent="0.35">
      <c r="A26" s="9" t="s">
        <v>27</v>
      </c>
      <c r="B26" s="15" t="s">
        <v>183</v>
      </c>
      <c r="C26" s="15">
        <f>Ressponden!B10</f>
        <v>7</v>
      </c>
      <c r="D26" s="19">
        <f>(1/10) * (1/9 + 1/10)</f>
        <v>2.1111111111111112E-2</v>
      </c>
      <c r="G26" t="s">
        <v>48</v>
      </c>
      <c r="H26">
        <v>4</v>
      </c>
      <c r="K26" t="s">
        <v>62</v>
      </c>
      <c r="L26">
        <v>4</v>
      </c>
      <c r="V26" t="s">
        <v>135</v>
      </c>
    </row>
    <row r="27" spans="1:22" x14ac:dyDescent="0.35">
      <c r="A27" s="9" t="s">
        <v>28</v>
      </c>
      <c r="B27" s="15" t="s">
        <v>184</v>
      </c>
      <c r="C27" s="15">
        <f>Ressponden!B11</f>
        <v>6.8</v>
      </c>
      <c r="D27">
        <f>(1/10) * (1/10)</f>
        <v>1.0000000000000002E-2</v>
      </c>
      <c r="G27" t="s">
        <v>49</v>
      </c>
      <c r="H27">
        <v>5</v>
      </c>
      <c r="K27" t="s">
        <v>63</v>
      </c>
      <c r="L27">
        <v>5</v>
      </c>
      <c r="V27" t="s">
        <v>138</v>
      </c>
    </row>
    <row r="28" spans="1:22" x14ac:dyDescent="0.35">
      <c r="A28" s="4"/>
      <c r="B28" s="4"/>
      <c r="C28" s="4">
        <f>Ressponden!B12</f>
        <v>100</v>
      </c>
      <c r="D28" s="19">
        <f>SUM(D18:D27)</f>
        <v>1</v>
      </c>
      <c r="V28" t="s">
        <v>139</v>
      </c>
    </row>
    <row r="30" spans="1:22" x14ac:dyDescent="0.35">
      <c r="A30" s="18" t="s">
        <v>185</v>
      </c>
    </row>
    <row r="32" spans="1:22" x14ac:dyDescent="0.35">
      <c r="A32" s="15" t="s">
        <v>173</v>
      </c>
      <c r="B32" s="9" t="s">
        <v>186</v>
      </c>
    </row>
    <row r="33" spans="1:13" x14ac:dyDescent="0.35">
      <c r="A33" s="9" t="s">
        <v>19</v>
      </c>
      <c r="B33" s="9" t="s">
        <v>37</v>
      </c>
    </row>
    <row r="34" spans="1:13" x14ac:dyDescent="0.35">
      <c r="A34" s="9" t="s">
        <v>20</v>
      </c>
      <c r="B34" s="9" t="s">
        <v>38</v>
      </c>
    </row>
    <row r="35" spans="1:13" x14ac:dyDescent="0.35">
      <c r="A35" s="9" t="s">
        <v>21</v>
      </c>
      <c r="B35" s="9" t="s">
        <v>38</v>
      </c>
    </row>
    <row r="36" spans="1:13" x14ac:dyDescent="0.35">
      <c r="A36" s="9" t="s">
        <v>22</v>
      </c>
      <c r="B36" s="9" t="s">
        <v>38</v>
      </c>
    </row>
    <row r="37" spans="1:13" x14ac:dyDescent="0.35">
      <c r="A37" s="9" t="s">
        <v>23</v>
      </c>
      <c r="B37" s="9" t="s">
        <v>38</v>
      </c>
    </row>
    <row r="38" spans="1:13" x14ac:dyDescent="0.35">
      <c r="A38" s="9" t="s">
        <v>24</v>
      </c>
      <c r="B38" s="9" t="s">
        <v>37</v>
      </c>
    </row>
    <row r="39" spans="1:13" x14ac:dyDescent="0.35">
      <c r="A39" s="9" t="s">
        <v>25</v>
      </c>
      <c r="B39" s="9" t="s">
        <v>38</v>
      </c>
    </row>
    <row r="40" spans="1:13" x14ac:dyDescent="0.35">
      <c r="A40" s="9" t="s">
        <v>26</v>
      </c>
      <c r="B40" s="9" t="s">
        <v>38</v>
      </c>
    </row>
    <row r="41" spans="1:13" x14ac:dyDescent="0.35">
      <c r="A41" s="9" t="s">
        <v>27</v>
      </c>
      <c r="B41" s="9" t="s">
        <v>38</v>
      </c>
    </row>
    <row r="42" spans="1:13" x14ac:dyDescent="0.35">
      <c r="A42" s="9" t="s">
        <v>28</v>
      </c>
      <c r="B42" s="9" t="s">
        <v>38</v>
      </c>
    </row>
    <row r="46" spans="1:13" x14ac:dyDescent="0.35">
      <c r="A46" s="9" t="s">
        <v>188</v>
      </c>
    </row>
    <row r="47" spans="1:13" x14ac:dyDescent="0.35">
      <c r="A47" s="18"/>
    </row>
    <row r="48" spans="1:13" ht="43.5" x14ac:dyDescent="0.35">
      <c r="A48" s="16" t="s">
        <v>77</v>
      </c>
      <c r="B48" s="16" t="s">
        <v>78</v>
      </c>
      <c r="C48" s="16" t="s">
        <v>144</v>
      </c>
      <c r="D48" s="16"/>
      <c r="E48" s="16" t="s">
        <v>1</v>
      </c>
      <c r="F48" s="16" t="s">
        <v>145</v>
      </c>
      <c r="G48" s="16" t="s">
        <v>146</v>
      </c>
      <c r="H48" s="16" t="s">
        <v>4</v>
      </c>
      <c r="I48" s="16" t="s">
        <v>5</v>
      </c>
      <c r="J48" s="16" t="s">
        <v>40</v>
      </c>
      <c r="K48" s="16" t="s">
        <v>41</v>
      </c>
      <c r="L48" s="16" t="s">
        <v>42</v>
      </c>
      <c r="M48" s="16" t="s">
        <v>43</v>
      </c>
    </row>
    <row r="49" spans="1:13" ht="58" x14ac:dyDescent="0.35">
      <c r="A49" s="12">
        <v>1</v>
      </c>
      <c r="B49" s="16" t="s">
        <v>147</v>
      </c>
      <c r="C49" s="12" t="s">
        <v>148</v>
      </c>
      <c r="D49" s="12"/>
      <c r="E49" s="12" t="s">
        <v>189</v>
      </c>
      <c r="F49" s="12" t="s">
        <v>161</v>
      </c>
      <c r="G49" s="12" t="s">
        <v>149</v>
      </c>
      <c r="H49" s="12" t="s">
        <v>150</v>
      </c>
      <c r="I49" s="12" t="s">
        <v>63</v>
      </c>
      <c r="J49" s="12" t="s">
        <v>165</v>
      </c>
      <c r="K49" s="12" t="s">
        <v>151</v>
      </c>
      <c r="L49" s="12" t="s">
        <v>105</v>
      </c>
      <c r="M49" s="12" t="s">
        <v>168</v>
      </c>
    </row>
    <row r="50" spans="1:13" ht="43.5" x14ac:dyDescent="0.35">
      <c r="A50" s="12">
        <v>2</v>
      </c>
      <c r="B50" s="16" t="s">
        <v>152</v>
      </c>
      <c r="C50" s="14" t="s">
        <v>203</v>
      </c>
      <c r="D50" s="14"/>
      <c r="E50" s="12" t="s">
        <v>190</v>
      </c>
      <c r="F50" s="12" t="s">
        <v>162</v>
      </c>
      <c r="G50" s="12" t="s">
        <v>153</v>
      </c>
      <c r="H50" s="12" t="s">
        <v>163</v>
      </c>
      <c r="I50" s="12" t="s">
        <v>154</v>
      </c>
      <c r="J50" s="12" t="s">
        <v>166</v>
      </c>
      <c r="K50" s="12" t="s">
        <v>155</v>
      </c>
      <c r="L50" s="12" t="s">
        <v>206</v>
      </c>
      <c r="M50" s="12" t="s">
        <v>156</v>
      </c>
    </row>
    <row r="51" spans="1:13" ht="43.5" x14ac:dyDescent="0.35">
      <c r="A51" s="12">
        <v>3</v>
      </c>
      <c r="B51" s="16" t="s">
        <v>157</v>
      </c>
      <c r="C51" s="12" t="s">
        <v>158</v>
      </c>
      <c r="D51" s="12"/>
      <c r="E51" s="12" t="s">
        <v>191</v>
      </c>
      <c r="F51" s="12" t="s">
        <v>132</v>
      </c>
      <c r="G51" s="12" t="s">
        <v>159</v>
      </c>
      <c r="H51" s="12" t="s">
        <v>164</v>
      </c>
      <c r="I51" s="12" t="s">
        <v>63</v>
      </c>
      <c r="J51" s="12" t="s">
        <v>167</v>
      </c>
      <c r="K51" s="12" t="s">
        <v>160</v>
      </c>
      <c r="L51" s="12" t="s">
        <v>160</v>
      </c>
      <c r="M51" s="12" t="s">
        <v>169</v>
      </c>
    </row>
    <row r="54" spans="1:13" x14ac:dyDescent="0.35">
      <c r="A54" t="s">
        <v>192</v>
      </c>
    </row>
    <row r="56" spans="1:13" x14ac:dyDescent="0.35">
      <c r="A56" s="9" t="s">
        <v>170</v>
      </c>
      <c r="B56" s="9" t="s">
        <v>196</v>
      </c>
      <c r="C56" s="9" t="s">
        <v>19</v>
      </c>
      <c r="D56" s="9"/>
      <c r="E56" s="9" t="s">
        <v>20</v>
      </c>
      <c r="F56" s="9" t="s">
        <v>21</v>
      </c>
      <c r="G56" s="9" t="s">
        <v>22</v>
      </c>
      <c r="H56" s="9" t="s">
        <v>23</v>
      </c>
      <c r="I56" s="9" t="s">
        <v>24</v>
      </c>
      <c r="J56" s="9" t="s">
        <v>25</v>
      </c>
      <c r="K56" s="9" t="s">
        <v>26</v>
      </c>
      <c r="L56" s="9" t="s">
        <v>27</v>
      </c>
      <c r="M56" s="9" t="s">
        <v>28</v>
      </c>
    </row>
    <row r="57" spans="1:13" ht="58" x14ac:dyDescent="0.35">
      <c r="A57" s="9" t="s">
        <v>193</v>
      </c>
      <c r="B57" s="9" t="s">
        <v>197</v>
      </c>
      <c r="C57" s="12" t="s">
        <v>148</v>
      </c>
      <c r="D57" s="12"/>
      <c r="E57" s="12" t="s">
        <v>189</v>
      </c>
      <c r="F57" s="12" t="s">
        <v>161</v>
      </c>
      <c r="G57" s="12" t="s">
        <v>149</v>
      </c>
      <c r="H57" s="12" t="s">
        <v>150</v>
      </c>
      <c r="I57" s="12" t="s">
        <v>63</v>
      </c>
      <c r="J57" s="12" t="s">
        <v>165</v>
      </c>
      <c r="K57" s="12" t="s">
        <v>151</v>
      </c>
      <c r="L57" s="12" t="s">
        <v>105</v>
      </c>
      <c r="M57" s="12" t="s">
        <v>168</v>
      </c>
    </row>
    <row r="58" spans="1:13" ht="43.5" x14ac:dyDescent="0.35">
      <c r="A58" s="9" t="s">
        <v>194</v>
      </c>
      <c r="B58" s="9" t="s">
        <v>198</v>
      </c>
      <c r="C58" s="14" t="s">
        <v>203</v>
      </c>
      <c r="D58" s="14"/>
      <c r="E58" s="12" t="s">
        <v>190</v>
      </c>
      <c r="F58" s="12" t="s">
        <v>162</v>
      </c>
      <c r="G58" s="12" t="s">
        <v>153</v>
      </c>
      <c r="H58" s="12" t="s">
        <v>163</v>
      </c>
      <c r="I58" s="12" t="s">
        <v>154</v>
      </c>
      <c r="J58" s="12" t="s">
        <v>166</v>
      </c>
      <c r="K58" s="12" t="s">
        <v>155</v>
      </c>
      <c r="L58" s="12" t="s">
        <v>206</v>
      </c>
      <c r="M58" s="12" t="s">
        <v>156</v>
      </c>
    </row>
    <row r="59" spans="1:13" ht="43.5" x14ac:dyDescent="0.35">
      <c r="A59" s="9" t="s">
        <v>195</v>
      </c>
      <c r="B59" s="9" t="s">
        <v>199</v>
      </c>
      <c r="C59" s="12" t="s">
        <v>158</v>
      </c>
      <c r="D59" s="12"/>
      <c r="E59" s="12" t="s">
        <v>191</v>
      </c>
      <c r="F59" s="12" t="s">
        <v>132</v>
      </c>
      <c r="G59" s="12" t="s">
        <v>159</v>
      </c>
      <c r="H59" s="12" t="s">
        <v>164</v>
      </c>
      <c r="I59" s="12" t="s">
        <v>63</v>
      </c>
      <c r="J59" s="12" t="s">
        <v>167</v>
      </c>
      <c r="K59" s="12" t="s">
        <v>160</v>
      </c>
      <c r="L59" s="12" t="s">
        <v>160</v>
      </c>
      <c r="M59" s="12" t="s">
        <v>169</v>
      </c>
    </row>
    <row r="63" spans="1:13" x14ac:dyDescent="0.35">
      <c r="A63" t="s">
        <v>207</v>
      </c>
    </row>
    <row r="65" spans="1:12" x14ac:dyDescent="0.35">
      <c r="A65" s="9" t="s">
        <v>208</v>
      </c>
      <c r="B65" s="9" t="s">
        <v>19</v>
      </c>
      <c r="C65" s="9" t="s">
        <v>20</v>
      </c>
      <c r="D65" s="9"/>
      <c r="E65" s="9" t="s">
        <v>21</v>
      </c>
      <c r="F65" s="9" t="s">
        <v>22</v>
      </c>
      <c r="G65" s="9" t="s">
        <v>23</v>
      </c>
      <c r="H65" s="9" t="s">
        <v>24</v>
      </c>
      <c r="I65" s="9" t="s">
        <v>25</v>
      </c>
      <c r="J65" s="9" t="s">
        <v>26</v>
      </c>
      <c r="K65" s="9" t="s">
        <v>27</v>
      </c>
      <c r="L65" s="9" t="s">
        <v>28</v>
      </c>
    </row>
    <row r="66" spans="1:12" x14ac:dyDescent="0.35">
      <c r="A66" s="9" t="s">
        <v>193</v>
      </c>
      <c r="B66" s="9">
        <v>4</v>
      </c>
      <c r="C66" s="9">
        <v>4</v>
      </c>
      <c r="D66" s="9"/>
      <c r="E66" s="9">
        <v>4</v>
      </c>
      <c r="F66" s="9">
        <v>4</v>
      </c>
      <c r="G66" s="9">
        <v>5</v>
      </c>
      <c r="H66" s="9">
        <v>5</v>
      </c>
      <c r="I66" s="9">
        <v>4</v>
      </c>
      <c r="J66" s="9">
        <v>2</v>
      </c>
      <c r="K66" s="9">
        <v>1</v>
      </c>
      <c r="L66" s="9">
        <v>2</v>
      </c>
    </row>
    <row r="67" spans="1:12" x14ac:dyDescent="0.35">
      <c r="A67" s="9" t="s">
        <v>194</v>
      </c>
      <c r="B67" s="9">
        <v>2</v>
      </c>
      <c r="C67" s="9">
        <v>3</v>
      </c>
      <c r="D67" s="9"/>
      <c r="E67" s="9">
        <v>2</v>
      </c>
      <c r="F67" s="9">
        <v>4</v>
      </c>
      <c r="G67" s="9">
        <v>4</v>
      </c>
      <c r="H67" s="9">
        <v>3</v>
      </c>
      <c r="I67" s="9">
        <v>3</v>
      </c>
      <c r="J67" s="9">
        <v>1</v>
      </c>
      <c r="K67" s="9">
        <v>2</v>
      </c>
      <c r="L67" s="9">
        <v>1</v>
      </c>
    </row>
    <row r="68" spans="1:12" x14ac:dyDescent="0.35">
      <c r="A68" s="9" t="s">
        <v>195</v>
      </c>
      <c r="B68" s="9">
        <v>2</v>
      </c>
      <c r="C68" s="9">
        <v>4</v>
      </c>
      <c r="D68" s="9"/>
      <c r="E68" s="9">
        <v>3</v>
      </c>
      <c r="F68" s="9">
        <v>3</v>
      </c>
      <c r="G68" s="9">
        <v>3</v>
      </c>
      <c r="H68" s="9">
        <v>5</v>
      </c>
      <c r="I68" s="9">
        <v>4</v>
      </c>
      <c r="J68" s="9">
        <v>3</v>
      </c>
      <c r="K68" s="9">
        <v>3</v>
      </c>
      <c r="L68" s="9">
        <v>3</v>
      </c>
    </row>
    <row r="70" spans="1:12" x14ac:dyDescent="0.35">
      <c r="A70" s="18" t="s">
        <v>212</v>
      </c>
    </row>
    <row r="73" spans="1:12" x14ac:dyDescent="0.35">
      <c r="A73" t="s">
        <v>213</v>
      </c>
      <c r="F73" t="s">
        <v>214</v>
      </c>
      <c r="J73" t="s">
        <v>215</v>
      </c>
    </row>
    <row r="74" spans="1:12" x14ac:dyDescent="0.35">
      <c r="A74" t="s">
        <v>193</v>
      </c>
      <c r="B74">
        <f>2/B66</f>
        <v>0.5</v>
      </c>
      <c r="F74" t="s">
        <v>193</v>
      </c>
      <c r="G74">
        <f>C66/4</f>
        <v>1</v>
      </c>
      <c r="J74" t="s">
        <v>193</v>
      </c>
      <c r="K74">
        <f>E66/4</f>
        <v>1</v>
      </c>
    </row>
    <row r="75" spans="1:12" x14ac:dyDescent="0.35">
      <c r="A75" t="s">
        <v>194</v>
      </c>
      <c r="B75">
        <f>2/B67</f>
        <v>1</v>
      </c>
      <c r="F75" t="s">
        <v>194</v>
      </c>
      <c r="G75">
        <f>C67/4</f>
        <v>0.75</v>
      </c>
      <c r="J75" t="s">
        <v>194</v>
      </c>
      <c r="K75">
        <f>E67/4</f>
        <v>0.5</v>
      </c>
    </row>
    <row r="76" spans="1:12" x14ac:dyDescent="0.35">
      <c r="A76" t="s">
        <v>195</v>
      </c>
      <c r="B76">
        <f t="shared" ref="B76" si="0">2/B68</f>
        <v>1</v>
      </c>
      <c r="F76" t="s">
        <v>195</v>
      </c>
      <c r="G76">
        <f t="shared" ref="G76" si="1">C68/4</f>
        <v>1</v>
      </c>
      <c r="J76" t="s">
        <v>195</v>
      </c>
      <c r="K76">
        <f>E68/4</f>
        <v>0.75</v>
      </c>
    </row>
    <row r="79" spans="1:12" x14ac:dyDescent="0.35">
      <c r="A79" t="s">
        <v>216</v>
      </c>
      <c r="F79" t="s">
        <v>217</v>
      </c>
      <c r="J79" t="s">
        <v>218</v>
      </c>
    </row>
    <row r="80" spans="1:12" x14ac:dyDescent="0.35">
      <c r="A80" t="s">
        <v>193</v>
      </c>
      <c r="B80">
        <f>3/F66</f>
        <v>0.75</v>
      </c>
      <c r="F80" t="s">
        <v>193</v>
      </c>
      <c r="G80">
        <f>G66/5</f>
        <v>1</v>
      </c>
      <c r="J80" t="s">
        <v>193</v>
      </c>
      <c r="K80">
        <f>3/H66</f>
        <v>0.6</v>
      </c>
    </row>
    <row r="81" spans="1:11" x14ac:dyDescent="0.35">
      <c r="A81" t="s">
        <v>194</v>
      </c>
      <c r="B81">
        <f>3/F67</f>
        <v>0.75</v>
      </c>
      <c r="F81" t="s">
        <v>194</v>
      </c>
      <c r="G81">
        <f>G67/5</f>
        <v>0.8</v>
      </c>
      <c r="J81" t="s">
        <v>194</v>
      </c>
      <c r="K81">
        <f>3/H67</f>
        <v>1</v>
      </c>
    </row>
    <row r="82" spans="1:11" x14ac:dyDescent="0.35">
      <c r="A82" t="s">
        <v>195</v>
      </c>
      <c r="B82">
        <f>3/F68</f>
        <v>1</v>
      </c>
      <c r="F82" t="s">
        <v>195</v>
      </c>
      <c r="G82">
        <f>G68/5</f>
        <v>0.6</v>
      </c>
      <c r="J82" t="s">
        <v>195</v>
      </c>
      <c r="K82">
        <f>3/H68</f>
        <v>0.6</v>
      </c>
    </row>
    <row r="85" spans="1:11" x14ac:dyDescent="0.35">
      <c r="A85" t="s">
        <v>219</v>
      </c>
      <c r="F85" t="s">
        <v>220</v>
      </c>
      <c r="J85" t="s">
        <v>221</v>
      </c>
    </row>
    <row r="86" spans="1:11" x14ac:dyDescent="0.35">
      <c r="A86" t="s">
        <v>193</v>
      </c>
      <c r="B86">
        <f>I66/4</f>
        <v>1</v>
      </c>
      <c r="F86" t="s">
        <v>193</v>
      </c>
      <c r="G86" s="19">
        <f>J66/3</f>
        <v>0.66666666666666663</v>
      </c>
      <c r="J86" t="s">
        <v>193</v>
      </c>
      <c r="K86" s="19">
        <f>K66/3</f>
        <v>0.33333333333333331</v>
      </c>
    </row>
    <row r="87" spans="1:11" x14ac:dyDescent="0.35">
      <c r="A87" t="s">
        <v>194</v>
      </c>
      <c r="B87">
        <f>I67/4</f>
        <v>0.75</v>
      </c>
      <c r="F87" t="s">
        <v>194</v>
      </c>
      <c r="G87" s="19">
        <f>J67/3</f>
        <v>0.33333333333333331</v>
      </c>
      <c r="J87" t="s">
        <v>194</v>
      </c>
      <c r="K87" s="19">
        <f>K67/3</f>
        <v>0.66666666666666663</v>
      </c>
    </row>
    <row r="88" spans="1:11" x14ac:dyDescent="0.35">
      <c r="A88" t="s">
        <v>195</v>
      </c>
      <c r="B88">
        <f>I68/4</f>
        <v>1</v>
      </c>
      <c r="F88" t="s">
        <v>195</v>
      </c>
      <c r="G88">
        <f>J68/3</f>
        <v>1</v>
      </c>
      <c r="J88" t="s">
        <v>195</v>
      </c>
      <c r="K88">
        <f t="shared" ref="K88" si="2">K68/3</f>
        <v>1</v>
      </c>
    </row>
    <row r="91" spans="1:11" x14ac:dyDescent="0.35">
      <c r="F91" t="s">
        <v>222</v>
      </c>
    </row>
    <row r="92" spans="1:11" x14ac:dyDescent="0.35">
      <c r="F92" t="s">
        <v>193</v>
      </c>
      <c r="G92" s="19">
        <f>L66/3</f>
        <v>0.66666666666666663</v>
      </c>
    </row>
    <row r="93" spans="1:11" x14ac:dyDescent="0.35">
      <c r="F93" t="s">
        <v>194</v>
      </c>
      <c r="G93" s="19">
        <f>L67/3</f>
        <v>0.33333333333333331</v>
      </c>
    </row>
    <row r="94" spans="1:11" x14ac:dyDescent="0.35">
      <c r="F94" t="s">
        <v>195</v>
      </c>
      <c r="G94">
        <f t="shared" ref="G94" si="3">L68/3</f>
        <v>1</v>
      </c>
    </row>
    <row r="98" spans="1:14" x14ac:dyDescent="0.35">
      <c r="A98" t="s">
        <v>223</v>
      </c>
    </row>
    <row r="100" spans="1:14" x14ac:dyDescent="0.35">
      <c r="A100" s="9" t="s">
        <v>208</v>
      </c>
      <c r="B100" s="9" t="s">
        <v>19</v>
      </c>
      <c r="C100" s="9" t="s">
        <v>20</v>
      </c>
      <c r="D100" s="9"/>
      <c r="E100" s="9" t="s">
        <v>21</v>
      </c>
      <c r="F100" s="9" t="s">
        <v>22</v>
      </c>
      <c r="G100" s="9" t="s">
        <v>23</v>
      </c>
      <c r="H100" s="9" t="s">
        <v>24</v>
      </c>
      <c r="I100" s="9" t="s">
        <v>25</v>
      </c>
      <c r="J100" s="9" t="s">
        <v>26</v>
      </c>
      <c r="K100" s="9" t="s">
        <v>27</v>
      </c>
      <c r="L100" s="9" t="s">
        <v>28</v>
      </c>
    </row>
    <row r="101" spans="1:14" x14ac:dyDescent="0.35">
      <c r="A101" s="9" t="s">
        <v>193</v>
      </c>
      <c r="B101" s="9">
        <f>B74</f>
        <v>0.5</v>
      </c>
      <c r="C101" s="9">
        <f>G74</f>
        <v>1</v>
      </c>
      <c r="D101" s="9"/>
      <c r="E101" s="9">
        <f>K74</f>
        <v>1</v>
      </c>
      <c r="F101" s="9">
        <f>B80</f>
        <v>0.75</v>
      </c>
      <c r="G101" s="9">
        <f>G80</f>
        <v>1</v>
      </c>
      <c r="H101" s="9">
        <f>K80</f>
        <v>0.6</v>
      </c>
      <c r="I101" s="9">
        <f>B86</f>
        <v>1</v>
      </c>
      <c r="J101" s="20">
        <f>G86</f>
        <v>0.66666666666666663</v>
      </c>
      <c r="K101" s="20">
        <f>K86</f>
        <v>0.33333333333333331</v>
      </c>
      <c r="L101" s="20">
        <f>G92</f>
        <v>0.66666666666666663</v>
      </c>
    </row>
    <row r="102" spans="1:14" x14ac:dyDescent="0.35">
      <c r="A102" s="9" t="s">
        <v>194</v>
      </c>
      <c r="B102" s="9">
        <f t="shared" ref="B102:B103" si="4">B75</f>
        <v>1</v>
      </c>
      <c r="C102" s="9">
        <f t="shared" ref="C102:C103" si="5">G75</f>
        <v>0.75</v>
      </c>
      <c r="D102" s="9"/>
      <c r="E102" s="9">
        <f t="shared" ref="E102:E103" si="6">K75</f>
        <v>0.5</v>
      </c>
      <c r="F102" s="9">
        <f t="shared" ref="F102:F103" si="7">B81</f>
        <v>0.75</v>
      </c>
      <c r="G102" s="9">
        <f t="shared" ref="G102:G103" si="8">G81</f>
        <v>0.8</v>
      </c>
      <c r="H102" s="9">
        <f t="shared" ref="H102:H103" si="9">K81</f>
        <v>1</v>
      </c>
      <c r="I102" s="9">
        <f t="shared" ref="I102:I103" si="10">B87</f>
        <v>0.75</v>
      </c>
      <c r="J102" s="20">
        <f>G87</f>
        <v>0.33333333333333331</v>
      </c>
      <c r="K102" s="20">
        <f>K87</f>
        <v>0.66666666666666663</v>
      </c>
      <c r="L102" s="20">
        <f>G93</f>
        <v>0.33333333333333331</v>
      </c>
    </row>
    <row r="103" spans="1:14" x14ac:dyDescent="0.35">
      <c r="A103" s="9" t="s">
        <v>195</v>
      </c>
      <c r="B103" s="9">
        <f t="shared" si="4"/>
        <v>1</v>
      </c>
      <c r="C103" s="9">
        <f t="shared" si="5"/>
        <v>1</v>
      </c>
      <c r="D103" s="9"/>
      <c r="E103" s="9">
        <f t="shared" si="6"/>
        <v>0.75</v>
      </c>
      <c r="F103" s="9">
        <f t="shared" si="7"/>
        <v>1</v>
      </c>
      <c r="G103" s="9">
        <f t="shared" si="8"/>
        <v>0.6</v>
      </c>
      <c r="H103" s="9">
        <f t="shared" si="9"/>
        <v>0.6</v>
      </c>
      <c r="I103" s="9">
        <f t="shared" si="10"/>
        <v>1</v>
      </c>
      <c r="J103" s="9">
        <f t="shared" ref="J103" si="11">G88</f>
        <v>1</v>
      </c>
      <c r="K103" s="9">
        <f t="shared" ref="K103" si="12">K88</f>
        <v>1</v>
      </c>
      <c r="L103" s="9">
        <f t="shared" ref="L103" si="13">G94</f>
        <v>1</v>
      </c>
    </row>
    <row r="107" spans="1:14" x14ac:dyDescent="0.35">
      <c r="A107" t="s">
        <v>224</v>
      </c>
    </row>
    <row r="109" spans="1:14" x14ac:dyDescent="0.35">
      <c r="A109" s="9" t="s">
        <v>208</v>
      </c>
      <c r="B109" s="9" t="s">
        <v>19</v>
      </c>
      <c r="C109" s="9" t="s">
        <v>20</v>
      </c>
      <c r="D109" s="9"/>
      <c r="E109" s="9" t="s">
        <v>21</v>
      </c>
      <c r="F109" s="9" t="s">
        <v>22</v>
      </c>
      <c r="G109" s="9" t="s">
        <v>23</v>
      </c>
      <c r="H109" s="9" t="s">
        <v>24</v>
      </c>
      <c r="I109" s="9" t="s">
        <v>25</v>
      </c>
      <c r="J109" s="9" t="s">
        <v>26</v>
      </c>
      <c r="K109" s="9" t="s">
        <v>27</v>
      </c>
      <c r="L109" s="9" t="s">
        <v>28</v>
      </c>
      <c r="M109" s="9" t="s">
        <v>225</v>
      </c>
      <c r="N109" s="9" t="s">
        <v>226</v>
      </c>
    </row>
    <row r="110" spans="1:14" x14ac:dyDescent="0.35">
      <c r="A110" s="9" t="s">
        <v>193</v>
      </c>
      <c r="B110" s="9">
        <f>B101*C18</f>
        <v>9.1999999999999993</v>
      </c>
      <c r="C110" s="9">
        <f>C101*C19</f>
        <v>11.2</v>
      </c>
      <c r="D110" s="9"/>
      <c r="E110" s="9">
        <f>E101*C20</f>
        <v>10.6</v>
      </c>
      <c r="F110" s="9">
        <f>F101*C21</f>
        <v>8.6999999999999993</v>
      </c>
      <c r="G110" s="9">
        <f>G101*C22</f>
        <v>14.2</v>
      </c>
      <c r="H110" s="9">
        <f>H101*C23</f>
        <v>4.32</v>
      </c>
      <c r="I110" s="9">
        <f>I101*C24</f>
        <v>7</v>
      </c>
      <c r="J110" s="9">
        <f>J101*C25</f>
        <v>4</v>
      </c>
      <c r="K110" s="20">
        <f>K101*C26</f>
        <v>2.333333333333333</v>
      </c>
      <c r="L110" s="20">
        <f>L101*C27</f>
        <v>4.5333333333333332</v>
      </c>
      <c r="M110" s="20">
        <f>SUM(B110:L110)</f>
        <v>76.086666666666659</v>
      </c>
      <c r="N110" s="9">
        <f>RANK(M110, $M$110:$M$112, 0)</f>
        <v>2</v>
      </c>
    </row>
    <row r="111" spans="1:14" x14ac:dyDescent="0.35">
      <c r="A111" s="9" t="s">
        <v>194</v>
      </c>
      <c r="B111" s="9">
        <f>B102*C18</f>
        <v>18.399999999999999</v>
      </c>
      <c r="C111" s="9">
        <f>C102*C19</f>
        <v>8.3999999999999986</v>
      </c>
      <c r="D111" s="9"/>
      <c r="E111" s="9">
        <f>E102*C20</f>
        <v>5.3</v>
      </c>
      <c r="F111" s="9">
        <f>F102*C21</f>
        <v>8.6999999999999993</v>
      </c>
      <c r="G111" s="9">
        <f>G102*C22</f>
        <v>11.36</v>
      </c>
      <c r="H111" s="9">
        <f>H102*C23</f>
        <v>7.2</v>
      </c>
      <c r="I111" s="9">
        <f>I102*C24</f>
        <v>5.25</v>
      </c>
      <c r="J111" s="9">
        <f>J102*C25</f>
        <v>2</v>
      </c>
      <c r="K111" s="20">
        <f>K102*C26</f>
        <v>4.6666666666666661</v>
      </c>
      <c r="L111" s="20">
        <f>L102*C27</f>
        <v>2.2666666666666666</v>
      </c>
      <c r="M111" s="20">
        <f>SUM(B111:L111)</f>
        <v>73.543333333333337</v>
      </c>
      <c r="N111" s="9">
        <f t="shared" ref="N111:N112" si="14">RANK(M111, $M$110:$M$112, 0)</f>
        <v>3</v>
      </c>
    </row>
    <row r="112" spans="1:14" x14ac:dyDescent="0.35">
      <c r="A112" s="9" t="s">
        <v>195</v>
      </c>
      <c r="B112" s="9">
        <f>B103*C18</f>
        <v>18.399999999999999</v>
      </c>
      <c r="C112" s="9">
        <f>C103*C19</f>
        <v>11.2</v>
      </c>
      <c r="D112" s="9"/>
      <c r="E112" s="9">
        <f>E103*C20</f>
        <v>7.9499999999999993</v>
      </c>
      <c r="F112" s="9">
        <f>F103*C21</f>
        <v>11.6</v>
      </c>
      <c r="G112" s="9">
        <f>G103*C22</f>
        <v>8.52</v>
      </c>
      <c r="H112" s="9">
        <f>H103*C23</f>
        <v>4.32</v>
      </c>
      <c r="I112" s="9">
        <f>I103*C24</f>
        <v>7</v>
      </c>
      <c r="J112" s="9">
        <f>J103*C25</f>
        <v>6</v>
      </c>
      <c r="K112" s="9">
        <f>K103*C26</f>
        <v>7</v>
      </c>
      <c r="L112" s="9">
        <f>L103*C27</f>
        <v>6.8</v>
      </c>
      <c r="M112" s="9">
        <f>SUM(B112:L112)</f>
        <v>88.79</v>
      </c>
      <c r="N112" s="9">
        <f t="shared" si="14"/>
        <v>1</v>
      </c>
    </row>
  </sheetData>
  <phoneticPr fontId="1" type="noConversion"/>
  <conditionalFormatting sqref="L49">
    <cfRule type="duplicateValues" dxfId="6" priority="3"/>
  </conditionalFormatting>
  <conditionalFormatting sqref="L50">
    <cfRule type="duplicateValues" dxfId="5" priority="1"/>
  </conditionalFormatting>
  <conditionalFormatting sqref="L57:L58">
    <cfRule type="duplicateValues" dxfId="4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26FB-65A5-4DCB-9E1D-A2FA0EB2B8E1}">
  <dimension ref="A1:T119"/>
  <sheetViews>
    <sheetView topLeftCell="E54" zoomScale="99" zoomScaleNormal="118" workbookViewId="0">
      <selection activeCell="H6" sqref="H6"/>
    </sheetView>
  </sheetViews>
  <sheetFormatPr defaultRowHeight="14.5" x14ac:dyDescent="0.35"/>
  <cols>
    <col min="1" max="1" width="19.6328125" customWidth="1"/>
    <col min="2" max="2" width="18.81640625" customWidth="1"/>
    <col min="3" max="5" width="13.1796875" customWidth="1"/>
    <col min="6" max="8" width="20.453125" customWidth="1"/>
    <col min="9" max="9" width="18.453125" customWidth="1"/>
    <col min="10" max="10" width="17.6328125" customWidth="1"/>
    <col min="11" max="11" width="17" customWidth="1"/>
    <col min="12" max="12" width="10.54296875" customWidth="1"/>
    <col min="13" max="13" width="11.08984375" customWidth="1"/>
    <col min="14" max="14" width="14.453125" customWidth="1"/>
    <col min="15" max="15" width="15.81640625" customWidth="1"/>
    <col min="16" max="16" width="13" customWidth="1"/>
    <col min="17" max="17" width="11.453125" customWidth="1"/>
    <col min="18" max="18" width="18.453125" customWidth="1"/>
    <col min="19" max="19" width="22.1796875" customWidth="1"/>
    <col min="20" max="20" width="33.08984375" customWidth="1"/>
    <col min="24" max="24" width="17.453125" customWidth="1"/>
  </cols>
  <sheetData>
    <row r="1" spans="1:20" x14ac:dyDescent="0.35">
      <c r="A1" t="s">
        <v>172</v>
      </c>
      <c r="I1" t="s">
        <v>187</v>
      </c>
    </row>
    <row r="2" spans="1:20" x14ac:dyDescent="0.35">
      <c r="A2" s="9" t="s">
        <v>173</v>
      </c>
      <c r="B2" s="9" t="s">
        <v>196</v>
      </c>
    </row>
    <row r="3" spans="1:20" x14ac:dyDescent="0.35">
      <c r="A3" s="9" t="s">
        <v>19</v>
      </c>
      <c r="B3" s="17" t="s">
        <v>3</v>
      </c>
      <c r="I3" t="s">
        <v>19</v>
      </c>
      <c r="J3" t="s">
        <v>3</v>
      </c>
      <c r="N3" t="s">
        <v>22</v>
      </c>
      <c r="O3" t="s">
        <v>40</v>
      </c>
      <c r="R3" t="s">
        <v>25</v>
      </c>
      <c r="S3" t="s">
        <v>5</v>
      </c>
    </row>
    <row r="4" spans="1:20" x14ac:dyDescent="0.35">
      <c r="A4" s="9" t="s">
        <v>20</v>
      </c>
      <c r="B4" s="17" t="s">
        <v>30</v>
      </c>
      <c r="J4" t="s">
        <v>29</v>
      </c>
      <c r="K4" t="s">
        <v>11</v>
      </c>
      <c r="N4" t="s">
        <v>29</v>
      </c>
      <c r="O4" t="s">
        <v>196</v>
      </c>
      <c r="P4" t="s">
        <v>11</v>
      </c>
      <c r="S4" t="s">
        <v>29</v>
      </c>
      <c r="T4" t="s">
        <v>11</v>
      </c>
    </row>
    <row r="5" spans="1:20" ht="29" x14ac:dyDescent="0.35">
      <c r="A5" s="9" t="s">
        <v>21</v>
      </c>
      <c r="B5" s="17" t="s">
        <v>1</v>
      </c>
      <c r="J5" t="s">
        <v>267</v>
      </c>
      <c r="K5">
        <v>1</v>
      </c>
      <c r="N5" s="3" t="s">
        <v>283</v>
      </c>
      <c r="O5" s="3" t="s">
        <v>279</v>
      </c>
      <c r="P5">
        <v>1</v>
      </c>
      <c r="S5" t="s">
        <v>292</v>
      </c>
      <c r="T5">
        <v>1</v>
      </c>
    </row>
    <row r="6" spans="1:20" ht="58" x14ac:dyDescent="0.35">
      <c r="A6" s="9" t="s">
        <v>22</v>
      </c>
      <c r="B6" s="17" t="s">
        <v>85</v>
      </c>
      <c r="J6" t="s">
        <v>268</v>
      </c>
      <c r="K6">
        <v>2</v>
      </c>
      <c r="N6" s="3" t="s">
        <v>284</v>
      </c>
      <c r="O6" s="3" t="s">
        <v>280</v>
      </c>
      <c r="P6">
        <v>2</v>
      </c>
      <c r="S6" s="3" t="s">
        <v>293</v>
      </c>
      <c r="T6" s="3">
        <v>2</v>
      </c>
    </row>
    <row r="7" spans="1:20" ht="58" x14ac:dyDescent="0.35">
      <c r="A7" s="9" t="s">
        <v>23</v>
      </c>
      <c r="B7" s="17" t="s">
        <v>4</v>
      </c>
      <c r="J7" t="s">
        <v>269</v>
      </c>
      <c r="K7">
        <v>3</v>
      </c>
      <c r="N7" s="3" t="s">
        <v>285</v>
      </c>
      <c r="O7" s="3" t="s">
        <v>281</v>
      </c>
      <c r="P7">
        <v>3</v>
      </c>
      <c r="S7" s="3" t="s">
        <v>295</v>
      </c>
      <c r="T7" s="3">
        <v>3</v>
      </c>
    </row>
    <row r="8" spans="1:20" ht="72.5" x14ac:dyDescent="0.35">
      <c r="A8" s="9" t="s">
        <v>24</v>
      </c>
      <c r="B8" s="17" t="s">
        <v>266</v>
      </c>
      <c r="J8" t="s">
        <v>270</v>
      </c>
      <c r="K8">
        <v>4</v>
      </c>
      <c r="N8" s="3" t="s">
        <v>286</v>
      </c>
      <c r="O8" s="3" t="s">
        <v>282</v>
      </c>
      <c r="P8">
        <v>4</v>
      </c>
      <c r="S8" s="3" t="s">
        <v>294</v>
      </c>
      <c r="T8" s="3">
        <v>4</v>
      </c>
    </row>
    <row r="9" spans="1:20" x14ac:dyDescent="0.35">
      <c r="A9" s="9" t="s">
        <v>25</v>
      </c>
      <c r="B9" s="17" t="s">
        <v>5</v>
      </c>
    </row>
    <row r="10" spans="1:20" x14ac:dyDescent="0.35">
      <c r="A10" s="9" t="s">
        <v>26</v>
      </c>
      <c r="B10" s="17" t="s">
        <v>230</v>
      </c>
    </row>
    <row r="11" spans="1:20" x14ac:dyDescent="0.35">
      <c r="A11" s="9" t="s">
        <v>27</v>
      </c>
      <c r="B11" s="17" t="s">
        <v>229</v>
      </c>
      <c r="I11" t="s">
        <v>20</v>
      </c>
      <c r="J11" s="1" t="s">
        <v>30</v>
      </c>
      <c r="N11" t="s">
        <v>23</v>
      </c>
      <c r="O11" t="s">
        <v>4</v>
      </c>
      <c r="R11" t="s">
        <v>26</v>
      </c>
      <c r="S11" t="s">
        <v>42</v>
      </c>
    </row>
    <row r="12" spans="1:20" x14ac:dyDescent="0.35">
      <c r="A12" s="9"/>
      <c r="B12" s="17"/>
      <c r="J12" t="s">
        <v>29</v>
      </c>
      <c r="K12" t="s">
        <v>11</v>
      </c>
      <c r="O12" t="s">
        <v>29</v>
      </c>
      <c r="P12" t="s">
        <v>11</v>
      </c>
      <c r="S12" t="s">
        <v>29</v>
      </c>
      <c r="T12" t="s">
        <v>11</v>
      </c>
    </row>
    <row r="13" spans="1:20" x14ac:dyDescent="0.35">
      <c r="B13" s="15"/>
      <c r="J13" t="s">
        <v>271</v>
      </c>
      <c r="K13">
        <v>1</v>
      </c>
      <c r="O13" t="s">
        <v>56</v>
      </c>
      <c r="P13">
        <v>1</v>
      </c>
      <c r="S13" t="s">
        <v>204</v>
      </c>
      <c r="T13">
        <v>3</v>
      </c>
    </row>
    <row r="14" spans="1:20" x14ac:dyDescent="0.35">
      <c r="B14" s="15"/>
      <c r="J14" t="s">
        <v>272</v>
      </c>
      <c r="K14">
        <v>2</v>
      </c>
      <c r="O14" t="s">
        <v>287</v>
      </c>
      <c r="P14">
        <v>2</v>
      </c>
      <c r="S14" t="s">
        <v>205</v>
      </c>
      <c r="T14">
        <v>7</v>
      </c>
    </row>
    <row r="15" spans="1:20" x14ac:dyDescent="0.35">
      <c r="A15" s="18" t="s">
        <v>171</v>
      </c>
      <c r="B15" s="15"/>
      <c r="J15" t="s">
        <v>273</v>
      </c>
      <c r="K15">
        <v>3</v>
      </c>
      <c r="O15" t="s">
        <v>58</v>
      </c>
      <c r="P15">
        <v>3</v>
      </c>
    </row>
    <row r="16" spans="1:20" x14ac:dyDescent="0.35">
      <c r="A16" s="9"/>
      <c r="B16" s="15"/>
      <c r="J16" t="s">
        <v>274</v>
      </c>
      <c r="K16">
        <v>4</v>
      </c>
      <c r="O16" t="s">
        <v>299</v>
      </c>
      <c r="P16">
        <v>4</v>
      </c>
    </row>
    <row r="17" spans="1:20" ht="43.5" x14ac:dyDescent="0.35">
      <c r="A17" s="17" t="s">
        <v>173</v>
      </c>
      <c r="B17" s="17" t="s">
        <v>174</v>
      </c>
      <c r="C17" s="17" t="s">
        <v>11</v>
      </c>
      <c r="D17" s="17" t="s">
        <v>302</v>
      </c>
      <c r="E17" s="24" t="s">
        <v>307</v>
      </c>
      <c r="F17" s="17" t="s">
        <v>308</v>
      </c>
      <c r="G17" s="9"/>
      <c r="O17" s="3"/>
    </row>
    <row r="18" spans="1:20" x14ac:dyDescent="0.35">
      <c r="A18" s="9" t="s">
        <v>19</v>
      </c>
      <c r="B18" s="17" t="s">
        <v>175</v>
      </c>
      <c r="C18" s="17">
        <v>15</v>
      </c>
      <c r="D18" s="25">
        <f>(1/9) * (1/1 + 1/2 + 1/3 + 1/4 + 1/5 + 1/6 + 1/7 + 1/8 + 1/9)</f>
        <v>0.31432980599647259</v>
      </c>
      <c r="E18" s="22">
        <f>100*D18</f>
        <v>31.432980599647259</v>
      </c>
      <c r="F18" s="17">
        <v>15</v>
      </c>
      <c r="G18" s="9" t="s">
        <v>309</v>
      </c>
      <c r="H18" s="23"/>
      <c r="R18" t="s">
        <v>27</v>
      </c>
      <c r="S18" t="s">
        <v>231</v>
      </c>
    </row>
    <row r="19" spans="1:20" x14ac:dyDescent="0.35">
      <c r="A19" s="9" t="s">
        <v>20</v>
      </c>
      <c r="B19" s="17" t="s">
        <v>176</v>
      </c>
      <c r="C19" s="17">
        <v>20</v>
      </c>
      <c r="D19" s="25">
        <f>(1/9) * (1/2 + 1/3 + 1/4 + 1/5 + 1/6 + 1/7 + 1/8 + 1/9)</f>
        <v>0.20321869488536154</v>
      </c>
      <c r="E19" s="22">
        <f t="shared" ref="E19:E26" si="0">100*D19</f>
        <v>20.321869488536155</v>
      </c>
      <c r="F19" s="17">
        <v>20</v>
      </c>
      <c r="G19" s="9" t="s">
        <v>310</v>
      </c>
      <c r="H19" s="23"/>
      <c r="S19" t="s">
        <v>29</v>
      </c>
      <c r="T19" t="s">
        <v>11</v>
      </c>
    </row>
    <row r="20" spans="1:20" x14ac:dyDescent="0.35">
      <c r="A20" s="9" t="s">
        <v>21</v>
      </c>
      <c r="B20" s="17" t="s">
        <v>177</v>
      </c>
      <c r="C20" s="17">
        <v>15</v>
      </c>
      <c r="D20" s="25">
        <f>(1/9) * (1/3 + 1/4 + 1/5 + 1/6 + 1/7 + 1/8 + 1/9)</f>
        <v>0.14766313932980599</v>
      </c>
      <c r="E20" s="22">
        <f t="shared" si="0"/>
        <v>14.766313932980598</v>
      </c>
      <c r="F20" s="17">
        <v>15</v>
      </c>
      <c r="G20" s="9" t="s">
        <v>310</v>
      </c>
      <c r="H20" s="23"/>
      <c r="S20" t="s">
        <v>232</v>
      </c>
      <c r="T20">
        <v>2</v>
      </c>
    </row>
    <row r="21" spans="1:20" x14ac:dyDescent="0.35">
      <c r="A21" s="9" t="s">
        <v>22</v>
      </c>
      <c r="B21" s="17" t="s">
        <v>178</v>
      </c>
      <c r="C21" s="17">
        <v>10</v>
      </c>
      <c r="D21" s="25">
        <f>(1/9) * (1/4 + 1/5 + 1/6 + 1/7 + 1/8 + 1/9)</f>
        <v>0.11062610229276895</v>
      </c>
      <c r="E21" s="22">
        <f t="shared" si="0"/>
        <v>11.062610229276896</v>
      </c>
      <c r="F21" s="17">
        <v>10</v>
      </c>
      <c r="G21" s="9" t="s">
        <v>311</v>
      </c>
      <c r="H21" s="23"/>
      <c r="I21" t="s">
        <v>21</v>
      </c>
      <c r="J21" t="s">
        <v>1</v>
      </c>
      <c r="N21" t="s">
        <v>24</v>
      </c>
      <c r="O21" t="s">
        <v>266</v>
      </c>
      <c r="S21" t="s">
        <v>233</v>
      </c>
      <c r="T21">
        <v>3</v>
      </c>
    </row>
    <row r="22" spans="1:20" x14ac:dyDescent="0.35">
      <c r="A22" s="9" t="s">
        <v>23</v>
      </c>
      <c r="B22" s="17" t="s">
        <v>179</v>
      </c>
      <c r="C22" s="17">
        <v>10</v>
      </c>
      <c r="D22" s="25">
        <f>(1/9) * (1/5 + 1/6 + 1/7 + 1/8 + 1/9)</f>
        <v>8.2848324514991176E-2</v>
      </c>
      <c r="E22" s="22">
        <f t="shared" si="0"/>
        <v>8.284832451499117</v>
      </c>
      <c r="F22" s="17">
        <v>10</v>
      </c>
      <c r="G22" s="9" t="s">
        <v>312</v>
      </c>
      <c r="H22" s="23"/>
      <c r="J22" t="s">
        <v>39</v>
      </c>
      <c r="K22" t="s">
        <v>278</v>
      </c>
      <c r="L22" t="s">
        <v>11</v>
      </c>
      <c r="O22" t="s">
        <v>29</v>
      </c>
      <c r="P22" t="s">
        <v>11</v>
      </c>
      <c r="S22" t="s">
        <v>234</v>
      </c>
      <c r="T22">
        <v>5</v>
      </c>
    </row>
    <row r="23" spans="1:20" x14ac:dyDescent="0.35">
      <c r="A23" s="9" t="s">
        <v>24</v>
      </c>
      <c r="B23" s="17" t="s">
        <v>180</v>
      </c>
      <c r="C23" s="17">
        <v>5</v>
      </c>
      <c r="D23" s="25">
        <f>(1/9) * (1/6 + 1/7 + 1/8 + 1/9)</f>
        <v>6.0626102292768963E-2</v>
      </c>
      <c r="E23" s="22">
        <f t="shared" si="0"/>
        <v>6.0626102292768964</v>
      </c>
      <c r="F23" s="17">
        <v>5</v>
      </c>
      <c r="G23" s="9" t="s">
        <v>311</v>
      </c>
      <c r="H23" s="23"/>
      <c r="J23" t="s">
        <v>275</v>
      </c>
      <c r="K23" t="s">
        <v>279</v>
      </c>
      <c r="L23">
        <v>1</v>
      </c>
      <c r="O23" t="s">
        <v>288</v>
      </c>
      <c r="P23">
        <v>1</v>
      </c>
    </row>
    <row r="24" spans="1:20" ht="43.5" x14ac:dyDescent="0.35">
      <c r="A24" s="9" t="s">
        <v>25</v>
      </c>
      <c r="B24" s="17" t="s">
        <v>181</v>
      </c>
      <c r="C24" s="17">
        <v>5</v>
      </c>
      <c r="D24" s="25">
        <f>(1/9) * (1/7 + 1/8 + 1/9)</f>
        <v>4.2107583774250439E-2</v>
      </c>
      <c r="E24" s="22">
        <f t="shared" si="0"/>
        <v>4.2107583774250434</v>
      </c>
      <c r="F24" s="17">
        <v>5</v>
      </c>
      <c r="G24" s="9" t="s">
        <v>311</v>
      </c>
      <c r="H24" s="23"/>
      <c r="J24" s="3" t="s">
        <v>276</v>
      </c>
      <c r="K24" s="3" t="s">
        <v>280</v>
      </c>
      <c r="L24">
        <v>2</v>
      </c>
      <c r="O24" t="s">
        <v>289</v>
      </c>
      <c r="P24">
        <v>2</v>
      </c>
    </row>
    <row r="25" spans="1:20" ht="43.5" x14ac:dyDescent="0.35">
      <c r="A25" s="9" t="s">
        <v>26</v>
      </c>
      <c r="B25" s="17" t="s">
        <v>182</v>
      </c>
      <c r="C25" s="17">
        <v>5</v>
      </c>
      <c r="D25" s="25">
        <f>(1/9) * (1/8 + 1/9)</f>
        <v>2.6234567901234566E-2</v>
      </c>
      <c r="E25" s="22">
        <f t="shared" si="0"/>
        <v>2.6234567901234565</v>
      </c>
      <c r="F25" s="17">
        <v>5</v>
      </c>
      <c r="G25" s="9" t="s">
        <v>312</v>
      </c>
      <c r="H25" s="23"/>
      <c r="J25" s="3" t="s">
        <v>276</v>
      </c>
      <c r="K25" s="3" t="s">
        <v>281</v>
      </c>
      <c r="L25">
        <v>3</v>
      </c>
      <c r="O25" t="s">
        <v>290</v>
      </c>
      <c r="P25">
        <v>3</v>
      </c>
    </row>
    <row r="26" spans="1:20" ht="58" x14ac:dyDescent="0.35">
      <c r="A26" s="9" t="s">
        <v>27</v>
      </c>
      <c r="B26" s="17" t="s">
        <v>183</v>
      </c>
      <c r="C26" s="17">
        <v>15</v>
      </c>
      <c r="D26" s="25">
        <f>(1/9) * (1/9)</f>
        <v>1.2345679012345678E-2</v>
      </c>
      <c r="E26" s="22">
        <f t="shared" si="0"/>
        <v>1.2345679012345678</v>
      </c>
      <c r="F26" s="17">
        <v>15</v>
      </c>
      <c r="G26" s="9" t="s">
        <v>313</v>
      </c>
      <c r="H26" s="23"/>
      <c r="J26" s="3" t="s">
        <v>277</v>
      </c>
      <c r="K26" s="3" t="s">
        <v>282</v>
      </c>
      <c r="L26">
        <v>4</v>
      </c>
      <c r="O26" t="s">
        <v>291</v>
      </c>
      <c r="P26">
        <v>4</v>
      </c>
    </row>
    <row r="27" spans="1:20" x14ac:dyDescent="0.35">
      <c r="A27" s="9"/>
      <c r="B27" s="17"/>
      <c r="C27" s="17">
        <f>C18+C19+C20+C21+C22+C23+C24+C25+C26</f>
        <v>100</v>
      </c>
      <c r="D27" s="25">
        <f>SUM(D18:D26)</f>
        <v>0.99999999999999978</v>
      </c>
      <c r="E27" s="22">
        <f>SUM(E18:E26)</f>
        <v>99.999999999999986</v>
      </c>
      <c r="F27" s="9">
        <f>SUM(F18:F26)</f>
        <v>100</v>
      </c>
      <c r="G27" s="9"/>
      <c r="H27" s="23"/>
    </row>
    <row r="28" spans="1:20" x14ac:dyDescent="0.35">
      <c r="A28" s="4"/>
      <c r="B28" s="4"/>
      <c r="C28" s="4"/>
      <c r="D28" s="4"/>
      <c r="E28" s="4"/>
    </row>
    <row r="30" spans="1:20" x14ac:dyDescent="0.35">
      <c r="A30" s="18" t="s">
        <v>185</v>
      </c>
    </row>
    <row r="32" spans="1:20" ht="29" x14ac:dyDescent="0.35">
      <c r="A32" s="17" t="s">
        <v>173</v>
      </c>
      <c r="B32" s="9" t="s">
        <v>186</v>
      </c>
      <c r="C32" s="9" t="s">
        <v>303</v>
      </c>
      <c r="D32" s="9"/>
      <c r="E32" s="9"/>
      <c r="F32" s="9" t="s">
        <v>302</v>
      </c>
      <c r="G32" s="9" t="s">
        <v>186</v>
      </c>
      <c r="H32" s="9" t="s">
        <v>304</v>
      </c>
      <c r="I32" s="9" t="s">
        <v>306</v>
      </c>
      <c r="J32" s="24" t="s">
        <v>305</v>
      </c>
    </row>
    <row r="33" spans="1:19" x14ac:dyDescent="0.35">
      <c r="A33" s="9" t="s">
        <v>19</v>
      </c>
      <c r="B33" s="9" t="s">
        <v>37</v>
      </c>
      <c r="C33" s="9">
        <v>6</v>
      </c>
      <c r="D33" s="9"/>
      <c r="E33" s="9"/>
      <c r="F33" s="9" t="s">
        <v>21</v>
      </c>
      <c r="G33" s="9" t="s">
        <v>38</v>
      </c>
      <c r="H33" s="9">
        <v>15</v>
      </c>
      <c r="I33" s="25">
        <f>(1/9) * (1/1 + 1/2 + 1/3 + 1/4 + 1/5 + 1/6 + 1/7 + 1/8 + 1/9)</f>
        <v>0.31432980599647259</v>
      </c>
      <c r="J33" s="22">
        <f>100*I33</f>
        <v>31.432980599647259</v>
      </c>
    </row>
    <row r="34" spans="1:19" x14ac:dyDescent="0.35">
      <c r="A34" s="9" t="s">
        <v>20</v>
      </c>
      <c r="B34" s="9" t="s">
        <v>37</v>
      </c>
      <c r="C34" s="9">
        <v>7</v>
      </c>
      <c r="D34" s="9"/>
      <c r="E34" s="9"/>
      <c r="F34" s="9" t="s">
        <v>22</v>
      </c>
      <c r="G34" s="9" t="s">
        <v>38</v>
      </c>
      <c r="H34" s="9">
        <v>10</v>
      </c>
      <c r="I34" s="25">
        <f>(1/9) * (1/2 + 1/3 + 1/4 + 1/5 + 1/6 + 1/7 + 1/8 + 1/9)</f>
        <v>0.20321869488536154</v>
      </c>
      <c r="J34" s="22">
        <f t="shared" ref="J34:J41" si="1">100*I34</f>
        <v>20.321869488536155</v>
      </c>
    </row>
    <row r="35" spans="1:19" x14ac:dyDescent="0.35">
      <c r="A35" s="9" t="s">
        <v>21</v>
      </c>
      <c r="B35" s="9" t="s">
        <v>38</v>
      </c>
      <c r="C35" s="9">
        <v>1</v>
      </c>
      <c r="D35" s="9"/>
      <c r="E35" s="22"/>
      <c r="F35" s="9" t="s">
        <v>23</v>
      </c>
      <c r="G35" s="9" t="s">
        <v>38</v>
      </c>
      <c r="H35" s="9">
        <v>10</v>
      </c>
      <c r="I35" s="25">
        <f>(1/9) * (1/3 + 1/4 + 1/5 + 1/6 + 1/7 + 1/8 + 1/9)</f>
        <v>0.14766313932980599</v>
      </c>
      <c r="J35" s="22">
        <f t="shared" si="1"/>
        <v>14.766313932980598</v>
      </c>
    </row>
    <row r="36" spans="1:19" x14ac:dyDescent="0.35">
      <c r="A36" s="9" t="s">
        <v>22</v>
      </c>
      <c r="B36" s="9" t="s">
        <v>38</v>
      </c>
      <c r="C36" s="9">
        <v>2</v>
      </c>
      <c r="D36" s="9"/>
      <c r="E36" s="9"/>
      <c r="F36" s="9" t="s">
        <v>24</v>
      </c>
      <c r="G36" s="9" t="s">
        <v>38</v>
      </c>
      <c r="H36" s="9">
        <v>5</v>
      </c>
      <c r="I36" s="25">
        <f>(1/9) * (1/4 + 1/5 + 1/6 + 1/7 + 1/8 + 1/9)</f>
        <v>0.11062610229276895</v>
      </c>
      <c r="J36" s="22">
        <f t="shared" si="1"/>
        <v>11.062610229276896</v>
      </c>
    </row>
    <row r="37" spans="1:19" x14ac:dyDescent="0.35">
      <c r="A37" s="9" t="s">
        <v>23</v>
      </c>
      <c r="B37" s="9" t="s">
        <v>38</v>
      </c>
      <c r="C37" s="9">
        <v>3</v>
      </c>
      <c r="D37" s="9"/>
      <c r="E37" s="9"/>
      <c r="F37" s="9" t="s">
        <v>26</v>
      </c>
      <c r="G37" s="9" t="s">
        <v>38</v>
      </c>
      <c r="H37" s="9">
        <v>5</v>
      </c>
      <c r="I37" s="25">
        <f>(1/9) * (1/5 + 1/6 + 1/7 + 1/8 + 1/9)</f>
        <v>8.2848324514991176E-2</v>
      </c>
      <c r="J37" s="22">
        <f t="shared" si="1"/>
        <v>8.284832451499117</v>
      </c>
    </row>
    <row r="38" spans="1:19" x14ac:dyDescent="0.35">
      <c r="A38" s="9" t="s">
        <v>24</v>
      </c>
      <c r="B38" s="9" t="s">
        <v>38</v>
      </c>
      <c r="C38" s="9">
        <v>4</v>
      </c>
      <c r="D38" s="9"/>
      <c r="E38" s="9"/>
      <c r="F38" s="9" t="s">
        <v>19</v>
      </c>
      <c r="G38" s="9" t="s">
        <v>37</v>
      </c>
      <c r="H38" s="9">
        <v>15</v>
      </c>
      <c r="I38" s="25">
        <f>(1/9) * (1/6 + 1/7 + 1/8 + 1/9)</f>
        <v>6.0626102292768963E-2</v>
      </c>
      <c r="J38" s="22">
        <f t="shared" si="1"/>
        <v>6.0626102292768964</v>
      </c>
      <c r="R38" s="3"/>
      <c r="S38" s="3"/>
    </row>
    <row r="39" spans="1:19" x14ac:dyDescent="0.35">
      <c r="A39" s="9" t="s">
        <v>25</v>
      </c>
      <c r="B39" s="9" t="s">
        <v>37</v>
      </c>
      <c r="C39" s="9">
        <v>8</v>
      </c>
      <c r="D39" s="9"/>
      <c r="E39" s="9"/>
      <c r="F39" s="9" t="s">
        <v>20</v>
      </c>
      <c r="G39" s="9" t="s">
        <v>37</v>
      </c>
      <c r="H39" s="9">
        <v>20</v>
      </c>
      <c r="I39" s="25">
        <f>(1/9) * (1/7 + 1/8 + 1/9)</f>
        <v>4.2107583774250439E-2</v>
      </c>
      <c r="J39" s="22">
        <f t="shared" si="1"/>
        <v>4.2107583774250434</v>
      </c>
      <c r="R39" s="3"/>
      <c r="S39" s="3"/>
    </row>
    <row r="40" spans="1:19" x14ac:dyDescent="0.35">
      <c r="A40" s="9" t="s">
        <v>26</v>
      </c>
      <c r="B40" s="9" t="s">
        <v>38</v>
      </c>
      <c r="C40" s="9">
        <v>5</v>
      </c>
      <c r="D40" s="9"/>
      <c r="E40" s="9"/>
      <c r="F40" s="9" t="s">
        <v>25</v>
      </c>
      <c r="G40" s="9" t="s">
        <v>37</v>
      </c>
      <c r="H40" s="9">
        <v>5</v>
      </c>
      <c r="I40" s="25">
        <f>(1/9) * (1/8 + 1/9)</f>
        <v>2.6234567901234566E-2</v>
      </c>
      <c r="J40" s="22">
        <f t="shared" si="1"/>
        <v>2.6234567901234565</v>
      </c>
      <c r="R40" s="3"/>
      <c r="S40" s="3"/>
    </row>
    <row r="41" spans="1:19" x14ac:dyDescent="0.35">
      <c r="A41" s="9" t="s">
        <v>27</v>
      </c>
      <c r="B41" s="9" t="s">
        <v>37</v>
      </c>
      <c r="C41" s="9">
        <v>9</v>
      </c>
      <c r="D41" s="9"/>
      <c r="E41" s="9"/>
      <c r="F41" s="9" t="s">
        <v>27</v>
      </c>
      <c r="G41" s="9" t="s">
        <v>37</v>
      </c>
      <c r="H41" s="9">
        <v>15</v>
      </c>
      <c r="I41" s="25">
        <f>(1/9) * (1/9)</f>
        <v>1.2345679012345678E-2</v>
      </c>
      <c r="J41" s="22">
        <f t="shared" si="1"/>
        <v>1.2345679012345678</v>
      </c>
    </row>
    <row r="42" spans="1:19" x14ac:dyDescent="0.35">
      <c r="A42" s="9"/>
      <c r="B42" s="9"/>
      <c r="C42" s="9"/>
      <c r="D42" s="9"/>
      <c r="E42" s="9"/>
      <c r="F42" s="9"/>
      <c r="G42" s="9"/>
      <c r="H42" s="9">
        <f>SUM(H33:H41)</f>
        <v>100</v>
      </c>
      <c r="I42" s="20">
        <f>SUM(I33:I41)</f>
        <v>0.99999999999999978</v>
      </c>
      <c r="J42" s="22">
        <f>SUM(J33:J41)</f>
        <v>99.999999999999986</v>
      </c>
    </row>
    <row r="46" spans="1:19" x14ac:dyDescent="0.35">
      <c r="A46" s="9" t="s">
        <v>188</v>
      </c>
    </row>
    <row r="47" spans="1:19" x14ac:dyDescent="0.35">
      <c r="A47" s="18"/>
    </row>
    <row r="48" spans="1:19" ht="29" x14ac:dyDescent="0.35">
      <c r="A48" s="16" t="s">
        <v>77</v>
      </c>
      <c r="B48" s="16" t="s">
        <v>78</v>
      </c>
      <c r="C48" s="16" t="s">
        <v>144</v>
      </c>
      <c r="D48" s="16"/>
      <c r="E48" s="16"/>
      <c r="F48" s="16" t="s">
        <v>1</v>
      </c>
      <c r="G48" s="16"/>
      <c r="H48" s="16"/>
      <c r="I48" s="16" t="s">
        <v>85</v>
      </c>
      <c r="J48" s="16" t="s">
        <v>235</v>
      </c>
      <c r="K48" s="16" t="s">
        <v>4</v>
      </c>
      <c r="L48" s="16" t="s">
        <v>5</v>
      </c>
      <c r="M48" s="16" t="s">
        <v>42</v>
      </c>
      <c r="N48" s="16" t="s">
        <v>231</v>
      </c>
      <c r="O48" s="16" t="s">
        <v>146</v>
      </c>
      <c r="P48" s="16"/>
      <c r="Q48" s="16"/>
    </row>
    <row r="49" spans="1:18" ht="58" x14ac:dyDescent="0.35">
      <c r="A49" s="16" t="s">
        <v>193</v>
      </c>
      <c r="B49" s="12" t="s">
        <v>236</v>
      </c>
      <c r="C49" s="12" t="s">
        <v>237</v>
      </c>
      <c r="D49" s="12"/>
      <c r="E49" s="12"/>
      <c r="F49" s="12" t="s">
        <v>238</v>
      </c>
      <c r="G49" s="12"/>
      <c r="H49" s="12"/>
      <c r="I49" s="12" t="s">
        <v>239</v>
      </c>
      <c r="J49" s="12" t="s">
        <v>100</v>
      </c>
      <c r="K49" s="12" t="s">
        <v>58</v>
      </c>
      <c r="L49" s="12" t="s">
        <v>240</v>
      </c>
      <c r="M49" s="12" t="s">
        <v>206</v>
      </c>
      <c r="N49" s="12" t="s">
        <v>241</v>
      </c>
      <c r="O49" s="12" t="s">
        <v>242</v>
      </c>
      <c r="P49" s="12"/>
      <c r="Q49" s="12"/>
    </row>
    <row r="50" spans="1:18" ht="58" x14ac:dyDescent="0.35">
      <c r="A50" s="16" t="s">
        <v>194</v>
      </c>
      <c r="B50" s="12" t="s">
        <v>243</v>
      </c>
      <c r="C50" s="12" t="s">
        <v>237</v>
      </c>
      <c r="D50" s="12"/>
      <c r="E50" s="12"/>
      <c r="F50" s="12" t="s">
        <v>238</v>
      </c>
      <c r="G50" s="12"/>
      <c r="H50" s="12"/>
      <c r="I50" s="12" t="s">
        <v>244</v>
      </c>
      <c r="J50" s="12" t="s">
        <v>100</v>
      </c>
      <c r="K50" s="12" t="s">
        <v>245</v>
      </c>
      <c r="L50" s="12" t="s">
        <v>246</v>
      </c>
      <c r="M50" s="12" t="s">
        <v>247</v>
      </c>
      <c r="N50" s="12" t="s">
        <v>241</v>
      </c>
      <c r="O50" s="12" t="s">
        <v>242</v>
      </c>
      <c r="P50" s="12"/>
      <c r="Q50" s="12"/>
    </row>
    <row r="51" spans="1:18" ht="58" x14ac:dyDescent="0.35">
      <c r="A51" s="16" t="s">
        <v>195</v>
      </c>
      <c r="B51" s="12" t="s">
        <v>248</v>
      </c>
      <c r="C51" s="12" t="s">
        <v>249</v>
      </c>
      <c r="D51" s="12"/>
      <c r="E51" s="12"/>
      <c r="F51" s="12" t="s">
        <v>238</v>
      </c>
      <c r="G51" s="12"/>
      <c r="H51" s="12"/>
      <c r="I51" s="12" t="s">
        <v>250</v>
      </c>
      <c r="J51" s="12" t="s">
        <v>100</v>
      </c>
      <c r="K51" s="12" t="s">
        <v>245</v>
      </c>
      <c r="L51" s="12" t="s">
        <v>251</v>
      </c>
      <c r="M51" s="12" t="s">
        <v>247</v>
      </c>
      <c r="N51" s="12" t="s">
        <v>241</v>
      </c>
      <c r="O51" s="12" t="s">
        <v>252</v>
      </c>
      <c r="P51" s="12"/>
      <c r="Q51" s="12"/>
    </row>
    <row r="52" spans="1:18" ht="43.5" x14ac:dyDescent="0.35">
      <c r="A52" s="16" t="s">
        <v>253</v>
      </c>
      <c r="B52" s="12" t="s">
        <v>254</v>
      </c>
      <c r="C52" s="12" t="s">
        <v>249</v>
      </c>
      <c r="D52" s="12"/>
      <c r="E52" s="12"/>
      <c r="F52" s="12" t="s">
        <v>255</v>
      </c>
      <c r="G52" s="12"/>
      <c r="H52" s="12"/>
      <c r="I52" s="12" t="s">
        <v>256</v>
      </c>
      <c r="J52" s="12" t="s">
        <v>100</v>
      </c>
      <c r="K52" s="12" t="s">
        <v>257</v>
      </c>
      <c r="L52" s="12" t="s">
        <v>251</v>
      </c>
      <c r="M52" s="12" t="s">
        <v>247</v>
      </c>
      <c r="N52" s="12" t="s">
        <v>258</v>
      </c>
      <c r="O52" s="12" t="s">
        <v>242</v>
      </c>
    </row>
    <row r="53" spans="1:18" ht="43.5" x14ac:dyDescent="0.35">
      <c r="A53" s="16" t="s">
        <v>259</v>
      </c>
      <c r="B53" s="12" t="s">
        <v>260</v>
      </c>
      <c r="C53" s="12" t="s">
        <v>237</v>
      </c>
      <c r="D53" s="12"/>
      <c r="E53" s="12"/>
      <c r="F53" s="12" t="s">
        <v>261</v>
      </c>
      <c r="G53" s="12"/>
      <c r="H53" s="12"/>
      <c r="I53" s="12" t="s">
        <v>262</v>
      </c>
      <c r="J53" s="12" t="s">
        <v>100</v>
      </c>
      <c r="K53" s="12" t="s">
        <v>58</v>
      </c>
      <c r="L53" s="12" t="s">
        <v>246</v>
      </c>
      <c r="M53" s="12" t="s">
        <v>247</v>
      </c>
      <c r="N53" s="12" t="s">
        <v>241</v>
      </c>
      <c r="O53" s="12" t="s">
        <v>263</v>
      </c>
    </row>
    <row r="54" spans="1:18" ht="43.5" x14ac:dyDescent="0.35">
      <c r="A54" s="16" t="s">
        <v>264</v>
      </c>
      <c r="B54" s="12" t="s">
        <v>265</v>
      </c>
      <c r="C54" s="12" t="s">
        <v>237</v>
      </c>
      <c r="D54" s="12"/>
      <c r="E54" s="12"/>
      <c r="F54" s="12" t="s">
        <v>261</v>
      </c>
      <c r="G54" s="12"/>
      <c r="H54" s="12"/>
      <c r="I54" s="12" t="s">
        <v>256</v>
      </c>
      <c r="J54" s="12" t="s">
        <v>100</v>
      </c>
      <c r="K54" s="12" t="s">
        <v>245</v>
      </c>
      <c r="L54" s="12" t="s">
        <v>246</v>
      </c>
      <c r="M54" s="12" t="s">
        <v>247</v>
      </c>
      <c r="N54" s="12" t="s">
        <v>241</v>
      </c>
      <c r="O54" s="12" t="s">
        <v>252</v>
      </c>
    </row>
    <row r="56" spans="1:18" x14ac:dyDescent="0.35">
      <c r="A56" s="9" t="s">
        <v>170</v>
      </c>
      <c r="B56" s="9" t="s">
        <v>196</v>
      </c>
      <c r="C56" s="9" t="s">
        <v>19</v>
      </c>
      <c r="D56" s="9"/>
      <c r="E56" s="9"/>
      <c r="F56" s="9" t="s">
        <v>20</v>
      </c>
      <c r="G56" s="9"/>
      <c r="H56" s="9"/>
      <c r="I56" s="9" t="s">
        <v>21</v>
      </c>
      <c r="J56" s="9" t="s">
        <v>22</v>
      </c>
      <c r="K56" s="9" t="s">
        <v>23</v>
      </c>
      <c r="L56" s="9" t="s">
        <v>24</v>
      </c>
      <c r="M56" s="9" t="s">
        <v>25</v>
      </c>
      <c r="N56" s="9" t="s">
        <v>26</v>
      </c>
      <c r="O56" s="9" t="s">
        <v>27</v>
      </c>
      <c r="Q56" s="9"/>
      <c r="R56" s="9"/>
    </row>
    <row r="57" spans="1:18" ht="58" x14ac:dyDescent="0.35">
      <c r="A57" s="9" t="s">
        <v>193</v>
      </c>
      <c r="B57" s="7" t="s">
        <v>236</v>
      </c>
      <c r="C57" s="7" t="s">
        <v>242</v>
      </c>
      <c r="D57" s="7"/>
      <c r="E57" s="7"/>
      <c r="F57" s="7" t="s">
        <v>237</v>
      </c>
      <c r="G57" s="7"/>
      <c r="H57" s="7"/>
      <c r="I57" s="7" t="s">
        <v>238</v>
      </c>
      <c r="J57" s="7" t="s">
        <v>239</v>
      </c>
      <c r="K57" s="7" t="s">
        <v>58</v>
      </c>
      <c r="L57" s="7" t="s">
        <v>100</v>
      </c>
      <c r="M57" s="7" t="s">
        <v>240</v>
      </c>
      <c r="N57" s="7" t="s">
        <v>206</v>
      </c>
      <c r="O57" s="7" t="s">
        <v>241</v>
      </c>
      <c r="Q57" s="9"/>
      <c r="R57" s="17"/>
    </row>
    <row r="58" spans="1:18" ht="58" x14ac:dyDescent="0.35">
      <c r="A58" s="9" t="s">
        <v>194</v>
      </c>
      <c r="B58" s="7" t="s">
        <v>243</v>
      </c>
      <c r="C58" s="7" t="s">
        <v>242</v>
      </c>
      <c r="D58" s="7"/>
      <c r="E58" s="7"/>
      <c r="F58" s="7" t="s">
        <v>237</v>
      </c>
      <c r="G58" s="7"/>
      <c r="H58" s="7"/>
      <c r="I58" s="7" t="s">
        <v>238</v>
      </c>
      <c r="J58" s="7" t="s">
        <v>244</v>
      </c>
      <c r="K58" s="7" t="s">
        <v>245</v>
      </c>
      <c r="L58" s="7" t="s">
        <v>100</v>
      </c>
      <c r="M58" s="7" t="s">
        <v>246</v>
      </c>
      <c r="N58" s="7" t="s">
        <v>247</v>
      </c>
      <c r="O58" s="7" t="s">
        <v>241</v>
      </c>
      <c r="Q58" s="9"/>
      <c r="R58" s="17"/>
    </row>
    <row r="59" spans="1:18" ht="58" x14ac:dyDescent="0.35">
      <c r="A59" s="9" t="s">
        <v>195</v>
      </c>
      <c r="B59" s="7" t="s">
        <v>248</v>
      </c>
      <c r="C59" s="7" t="s">
        <v>252</v>
      </c>
      <c r="D59" s="7"/>
      <c r="E59" s="7"/>
      <c r="F59" s="7" t="s">
        <v>249</v>
      </c>
      <c r="G59" s="7"/>
      <c r="H59" s="7"/>
      <c r="I59" s="7" t="s">
        <v>238</v>
      </c>
      <c r="J59" s="7" t="s">
        <v>250</v>
      </c>
      <c r="K59" s="7" t="s">
        <v>245</v>
      </c>
      <c r="L59" s="7" t="s">
        <v>100</v>
      </c>
      <c r="M59" s="7" t="s">
        <v>251</v>
      </c>
      <c r="N59" s="7" t="s">
        <v>247</v>
      </c>
      <c r="O59" s="7" t="s">
        <v>241</v>
      </c>
      <c r="Q59" s="9"/>
      <c r="R59" s="17"/>
    </row>
    <row r="60" spans="1:18" ht="43.5" x14ac:dyDescent="0.35">
      <c r="A60" s="9" t="s">
        <v>253</v>
      </c>
      <c r="B60" s="7" t="s">
        <v>254</v>
      </c>
      <c r="C60" s="7" t="s">
        <v>242</v>
      </c>
      <c r="D60" s="7"/>
      <c r="E60" s="7"/>
      <c r="F60" s="7" t="s">
        <v>249</v>
      </c>
      <c r="G60" s="7"/>
      <c r="H60" s="7"/>
      <c r="I60" s="7" t="s">
        <v>255</v>
      </c>
      <c r="J60" s="7" t="s">
        <v>256</v>
      </c>
      <c r="K60" s="7" t="s">
        <v>257</v>
      </c>
      <c r="L60" s="7" t="s">
        <v>100</v>
      </c>
      <c r="M60" s="7" t="s">
        <v>251</v>
      </c>
      <c r="N60" s="7" t="s">
        <v>247</v>
      </c>
      <c r="O60" s="7" t="s">
        <v>258</v>
      </c>
      <c r="Q60" s="9"/>
      <c r="R60" s="17"/>
    </row>
    <row r="61" spans="1:18" ht="43.5" x14ac:dyDescent="0.35">
      <c r="A61" s="9" t="s">
        <v>259</v>
      </c>
      <c r="B61" s="7" t="s">
        <v>260</v>
      </c>
      <c r="C61" s="7" t="s">
        <v>263</v>
      </c>
      <c r="D61" s="7"/>
      <c r="E61" s="7"/>
      <c r="F61" s="7" t="s">
        <v>237</v>
      </c>
      <c r="G61" s="7"/>
      <c r="H61" s="7"/>
      <c r="I61" s="7" t="s">
        <v>261</v>
      </c>
      <c r="J61" s="7" t="s">
        <v>262</v>
      </c>
      <c r="K61" s="7" t="s">
        <v>58</v>
      </c>
      <c r="L61" s="7" t="s">
        <v>100</v>
      </c>
      <c r="M61" s="7" t="s">
        <v>246</v>
      </c>
      <c r="N61" s="7" t="s">
        <v>247</v>
      </c>
      <c r="O61" s="7" t="s">
        <v>241</v>
      </c>
      <c r="Q61" s="9"/>
      <c r="R61" s="17"/>
    </row>
    <row r="62" spans="1:18" ht="43.5" x14ac:dyDescent="0.35">
      <c r="A62" s="9" t="s">
        <v>264</v>
      </c>
      <c r="B62" s="7" t="s">
        <v>265</v>
      </c>
      <c r="C62" s="7" t="s">
        <v>252</v>
      </c>
      <c r="D62" s="7"/>
      <c r="E62" s="7"/>
      <c r="F62" s="7" t="s">
        <v>237</v>
      </c>
      <c r="G62" s="7"/>
      <c r="H62" s="7"/>
      <c r="I62" s="7" t="s">
        <v>261</v>
      </c>
      <c r="J62" s="7" t="s">
        <v>256</v>
      </c>
      <c r="K62" s="7" t="s">
        <v>245</v>
      </c>
      <c r="L62" s="7" t="s">
        <v>100</v>
      </c>
      <c r="M62" s="7" t="s">
        <v>246</v>
      </c>
      <c r="N62" s="7" t="s">
        <v>247</v>
      </c>
      <c r="O62" s="7" t="s">
        <v>241</v>
      </c>
      <c r="Q62" s="9"/>
      <c r="R62" s="17"/>
    </row>
    <row r="63" spans="1:18" x14ac:dyDescent="0.35">
      <c r="Q63" s="9"/>
      <c r="R63" s="17"/>
    </row>
    <row r="64" spans="1:18" x14ac:dyDescent="0.35">
      <c r="A64" t="s">
        <v>207</v>
      </c>
      <c r="Q64" s="9"/>
      <c r="R64" s="17"/>
    </row>
    <row r="65" spans="1:18" x14ac:dyDescent="0.35">
      <c r="Q65" s="9"/>
      <c r="R65" s="17"/>
    </row>
    <row r="66" spans="1:18" x14ac:dyDescent="0.35">
      <c r="A66" s="9" t="s">
        <v>208</v>
      </c>
      <c r="B66" s="9" t="s">
        <v>19</v>
      </c>
      <c r="C66" s="9" t="s">
        <v>20</v>
      </c>
      <c r="D66" s="9"/>
      <c r="E66" s="9"/>
      <c r="F66" s="9" t="s">
        <v>21</v>
      </c>
      <c r="G66" s="9"/>
      <c r="H66" s="9"/>
      <c r="I66" s="9" t="s">
        <v>22</v>
      </c>
      <c r="J66" s="9" t="s">
        <v>23</v>
      </c>
      <c r="K66" s="9" t="s">
        <v>24</v>
      </c>
      <c r="L66" s="9" t="s">
        <v>25</v>
      </c>
      <c r="M66" s="9" t="s">
        <v>26</v>
      </c>
      <c r="N66" s="9" t="s">
        <v>27</v>
      </c>
      <c r="O66" s="9"/>
    </row>
    <row r="67" spans="1:18" x14ac:dyDescent="0.35">
      <c r="A67" s="9" t="s">
        <v>193</v>
      </c>
      <c r="B67" s="9">
        <v>1</v>
      </c>
      <c r="C67" s="9">
        <v>2</v>
      </c>
      <c r="D67" s="9"/>
      <c r="E67" s="9"/>
      <c r="F67" s="9">
        <v>4</v>
      </c>
      <c r="G67" s="9"/>
      <c r="H67" s="9"/>
      <c r="I67" s="9">
        <v>4</v>
      </c>
      <c r="J67" s="9">
        <v>3</v>
      </c>
      <c r="K67" s="9">
        <v>2</v>
      </c>
      <c r="L67" s="9">
        <v>4</v>
      </c>
      <c r="M67" s="9">
        <v>3</v>
      </c>
      <c r="N67" s="9">
        <v>2</v>
      </c>
      <c r="O67" s="9"/>
    </row>
    <row r="68" spans="1:18" x14ac:dyDescent="0.35">
      <c r="A68" s="9" t="s">
        <v>194</v>
      </c>
      <c r="B68" s="9">
        <v>1</v>
      </c>
      <c r="C68" s="9">
        <v>2</v>
      </c>
      <c r="D68" s="9"/>
      <c r="E68" s="9"/>
      <c r="F68" s="9">
        <v>4</v>
      </c>
      <c r="G68" s="9"/>
      <c r="H68" s="9"/>
      <c r="I68" s="9">
        <v>4</v>
      </c>
      <c r="J68" s="9">
        <v>4</v>
      </c>
      <c r="K68" s="9">
        <v>2</v>
      </c>
      <c r="L68" s="9">
        <v>1</v>
      </c>
      <c r="M68" s="9">
        <v>7</v>
      </c>
      <c r="N68" s="9">
        <v>2</v>
      </c>
      <c r="O68" s="9"/>
    </row>
    <row r="69" spans="1:18" x14ac:dyDescent="0.35">
      <c r="A69" s="9" t="s">
        <v>195</v>
      </c>
      <c r="B69" s="9">
        <v>3</v>
      </c>
      <c r="C69" s="9">
        <v>1</v>
      </c>
      <c r="D69" s="9"/>
      <c r="E69" s="9"/>
      <c r="F69" s="9">
        <v>4</v>
      </c>
      <c r="G69" s="9"/>
      <c r="H69" s="9"/>
      <c r="I69" s="9">
        <v>3</v>
      </c>
      <c r="J69" s="9">
        <v>4</v>
      </c>
      <c r="K69" s="9">
        <v>2</v>
      </c>
      <c r="L69" s="9">
        <v>2</v>
      </c>
      <c r="M69" s="9">
        <v>7</v>
      </c>
      <c r="N69" s="9">
        <v>2</v>
      </c>
      <c r="O69" s="9"/>
    </row>
    <row r="70" spans="1:18" x14ac:dyDescent="0.35">
      <c r="A70" s="9" t="s">
        <v>253</v>
      </c>
      <c r="B70" s="9">
        <v>1</v>
      </c>
      <c r="C70" s="9">
        <v>1</v>
      </c>
      <c r="D70" s="9"/>
      <c r="E70" s="9"/>
      <c r="F70" s="9">
        <v>3</v>
      </c>
      <c r="G70" s="9"/>
      <c r="H70" s="9"/>
      <c r="I70" s="9">
        <v>4</v>
      </c>
      <c r="J70" s="9">
        <v>1</v>
      </c>
      <c r="K70" s="9">
        <v>2</v>
      </c>
      <c r="L70" s="9">
        <v>2</v>
      </c>
      <c r="M70" s="9">
        <v>7</v>
      </c>
      <c r="N70" s="9">
        <v>3</v>
      </c>
      <c r="O70" s="9"/>
    </row>
    <row r="71" spans="1:18" x14ac:dyDescent="0.35">
      <c r="A71" s="9" t="s">
        <v>259</v>
      </c>
      <c r="B71" s="9">
        <v>2</v>
      </c>
      <c r="C71" s="9">
        <v>2</v>
      </c>
      <c r="D71" s="9"/>
      <c r="E71" s="9"/>
      <c r="F71" s="9">
        <v>3</v>
      </c>
      <c r="G71" s="9"/>
      <c r="H71" s="9"/>
      <c r="I71" s="9">
        <v>3</v>
      </c>
      <c r="J71" s="9">
        <v>3</v>
      </c>
      <c r="K71" s="9">
        <v>2</v>
      </c>
      <c r="L71" s="9">
        <v>1</v>
      </c>
      <c r="M71" s="9">
        <v>7</v>
      </c>
      <c r="N71" s="9">
        <v>2</v>
      </c>
      <c r="O71" s="9"/>
    </row>
    <row r="72" spans="1:18" x14ac:dyDescent="0.35">
      <c r="A72" s="9" t="s">
        <v>264</v>
      </c>
      <c r="B72" s="9">
        <v>3</v>
      </c>
      <c r="C72" s="9">
        <v>2</v>
      </c>
      <c r="D72" s="9"/>
      <c r="E72" s="9"/>
      <c r="F72" s="9">
        <v>3</v>
      </c>
      <c r="G72" s="9"/>
      <c r="H72" s="9"/>
      <c r="I72" s="9">
        <v>3</v>
      </c>
      <c r="J72" s="9">
        <v>4</v>
      </c>
      <c r="K72" s="9">
        <v>2</v>
      </c>
      <c r="L72" s="9">
        <v>1</v>
      </c>
      <c r="M72" s="9">
        <v>7</v>
      </c>
      <c r="N72" s="9">
        <v>2</v>
      </c>
      <c r="O72" s="9"/>
    </row>
    <row r="73" spans="1:18" x14ac:dyDescent="0.35">
      <c r="N73" s="9"/>
    </row>
    <row r="74" spans="1:18" x14ac:dyDescent="0.35">
      <c r="A74" s="18" t="s">
        <v>212</v>
      </c>
    </row>
    <row r="77" spans="1:18" x14ac:dyDescent="0.35">
      <c r="A77" t="s">
        <v>213</v>
      </c>
      <c r="I77" t="s">
        <v>296</v>
      </c>
      <c r="N77" t="s">
        <v>215</v>
      </c>
    </row>
    <row r="78" spans="1:18" x14ac:dyDescent="0.35">
      <c r="A78" t="s">
        <v>193</v>
      </c>
      <c r="B78">
        <f t="shared" ref="B78:B83" si="2">1/B67</f>
        <v>1</v>
      </c>
      <c r="I78" t="s">
        <v>193</v>
      </c>
      <c r="J78">
        <f>1/C67</f>
        <v>0.5</v>
      </c>
      <c r="N78" t="s">
        <v>193</v>
      </c>
      <c r="O78">
        <f>F67/4</f>
        <v>1</v>
      </c>
    </row>
    <row r="79" spans="1:18" x14ac:dyDescent="0.35">
      <c r="A79" t="s">
        <v>194</v>
      </c>
      <c r="B79">
        <f t="shared" si="2"/>
        <v>1</v>
      </c>
      <c r="I79" t="s">
        <v>194</v>
      </c>
      <c r="J79">
        <f t="shared" ref="J79:J83" si="3">1/C68</f>
        <v>0.5</v>
      </c>
      <c r="N79" t="s">
        <v>194</v>
      </c>
      <c r="O79">
        <f t="shared" ref="O79:O83" si="4">F68/4</f>
        <v>1</v>
      </c>
    </row>
    <row r="80" spans="1:18" x14ac:dyDescent="0.35">
      <c r="A80" t="s">
        <v>195</v>
      </c>
      <c r="B80" s="19">
        <f t="shared" si="2"/>
        <v>0.33333333333333331</v>
      </c>
      <c r="I80" t="s">
        <v>195</v>
      </c>
      <c r="J80">
        <f>1/C69</f>
        <v>1</v>
      </c>
      <c r="N80" t="s">
        <v>195</v>
      </c>
      <c r="O80">
        <f>F69/4</f>
        <v>1</v>
      </c>
    </row>
    <row r="81" spans="1:15" x14ac:dyDescent="0.35">
      <c r="A81" t="s">
        <v>253</v>
      </c>
      <c r="B81">
        <f t="shared" si="2"/>
        <v>1</v>
      </c>
      <c r="I81" t="s">
        <v>253</v>
      </c>
      <c r="J81">
        <f t="shared" si="3"/>
        <v>1</v>
      </c>
      <c r="N81" t="s">
        <v>253</v>
      </c>
      <c r="O81">
        <f>F70/4</f>
        <v>0.75</v>
      </c>
    </row>
    <row r="82" spans="1:15" x14ac:dyDescent="0.35">
      <c r="A82" t="s">
        <v>259</v>
      </c>
      <c r="B82">
        <f t="shared" si="2"/>
        <v>0.5</v>
      </c>
      <c r="I82" t="s">
        <v>259</v>
      </c>
      <c r="J82">
        <f t="shared" si="3"/>
        <v>0.5</v>
      </c>
      <c r="N82" t="s">
        <v>259</v>
      </c>
      <c r="O82">
        <f t="shared" si="4"/>
        <v>0.75</v>
      </c>
    </row>
    <row r="83" spans="1:15" x14ac:dyDescent="0.35">
      <c r="A83" t="s">
        <v>264</v>
      </c>
      <c r="B83" s="19">
        <f t="shared" si="2"/>
        <v>0.33333333333333331</v>
      </c>
      <c r="I83" t="s">
        <v>264</v>
      </c>
      <c r="J83">
        <f t="shared" si="3"/>
        <v>0.5</v>
      </c>
      <c r="N83" t="s">
        <v>264</v>
      </c>
      <c r="O83">
        <f t="shared" si="4"/>
        <v>0.75</v>
      </c>
    </row>
    <row r="85" spans="1:15" x14ac:dyDescent="0.35">
      <c r="A85" t="s">
        <v>300</v>
      </c>
      <c r="I85" t="s">
        <v>217</v>
      </c>
      <c r="N85" t="s">
        <v>301</v>
      </c>
    </row>
    <row r="86" spans="1:15" x14ac:dyDescent="0.35">
      <c r="A86" t="s">
        <v>193</v>
      </c>
      <c r="B86">
        <f>I67/4</f>
        <v>1</v>
      </c>
      <c r="I86" t="s">
        <v>193</v>
      </c>
      <c r="J86">
        <f>J67/4</f>
        <v>0.75</v>
      </c>
      <c r="N86" t="s">
        <v>193</v>
      </c>
      <c r="O86">
        <f>K67/3</f>
        <v>0.66666666666666663</v>
      </c>
    </row>
    <row r="87" spans="1:15" x14ac:dyDescent="0.35">
      <c r="A87" t="s">
        <v>194</v>
      </c>
      <c r="B87">
        <f>I68/4</f>
        <v>1</v>
      </c>
      <c r="I87" t="s">
        <v>194</v>
      </c>
      <c r="J87">
        <f>J68/4</f>
        <v>1</v>
      </c>
      <c r="N87" t="s">
        <v>194</v>
      </c>
      <c r="O87">
        <f t="shared" ref="O87:O91" si="5">K68/3</f>
        <v>0.66666666666666663</v>
      </c>
    </row>
    <row r="88" spans="1:15" x14ac:dyDescent="0.35">
      <c r="A88" t="s">
        <v>195</v>
      </c>
      <c r="B88">
        <f>I69/4</f>
        <v>0.75</v>
      </c>
      <c r="I88" t="s">
        <v>195</v>
      </c>
      <c r="J88">
        <f t="shared" ref="J88:J91" si="6">J69/4</f>
        <v>1</v>
      </c>
      <c r="N88" t="s">
        <v>195</v>
      </c>
      <c r="O88">
        <f t="shared" si="5"/>
        <v>0.66666666666666663</v>
      </c>
    </row>
    <row r="89" spans="1:15" x14ac:dyDescent="0.35">
      <c r="A89" t="s">
        <v>253</v>
      </c>
      <c r="B89">
        <f>I70/4</f>
        <v>1</v>
      </c>
      <c r="I89" t="s">
        <v>253</v>
      </c>
      <c r="J89">
        <f>J70/4</f>
        <v>0.25</v>
      </c>
      <c r="N89" t="s">
        <v>253</v>
      </c>
      <c r="O89">
        <f t="shared" si="5"/>
        <v>0.66666666666666663</v>
      </c>
    </row>
    <row r="90" spans="1:15" x14ac:dyDescent="0.35">
      <c r="A90" t="s">
        <v>259</v>
      </c>
      <c r="B90">
        <f>I71/4</f>
        <v>0.75</v>
      </c>
      <c r="I90" t="s">
        <v>259</v>
      </c>
      <c r="J90">
        <f>J71/4</f>
        <v>0.75</v>
      </c>
      <c r="N90" t="s">
        <v>259</v>
      </c>
      <c r="O90">
        <f t="shared" si="5"/>
        <v>0.66666666666666663</v>
      </c>
    </row>
    <row r="91" spans="1:15" x14ac:dyDescent="0.35">
      <c r="A91" t="s">
        <v>264</v>
      </c>
      <c r="B91">
        <f t="shared" ref="B91" si="7">I72/4</f>
        <v>0.75</v>
      </c>
      <c r="I91" t="s">
        <v>264</v>
      </c>
      <c r="J91">
        <f t="shared" si="6"/>
        <v>1</v>
      </c>
      <c r="N91" t="s">
        <v>264</v>
      </c>
      <c r="O91">
        <f t="shared" si="5"/>
        <v>0.66666666666666663</v>
      </c>
    </row>
    <row r="93" spans="1:15" x14ac:dyDescent="0.35">
      <c r="A93" t="s">
        <v>297</v>
      </c>
      <c r="I93" t="s">
        <v>220</v>
      </c>
      <c r="N93" t="s">
        <v>298</v>
      </c>
    </row>
    <row r="94" spans="1:15" x14ac:dyDescent="0.35">
      <c r="A94" t="s">
        <v>193</v>
      </c>
      <c r="B94">
        <f>1/L67</f>
        <v>0.25</v>
      </c>
      <c r="I94" t="s">
        <v>193</v>
      </c>
      <c r="J94" s="19">
        <f>M67/7</f>
        <v>0.42857142857142855</v>
      </c>
      <c r="K94" s="19"/>
      <c r="N94" t="s">
        <v>193</v>
      </c>
      <c r="O94" s="23">
        <f>2/N67</f>
        <v>1</v>
      </c>
    </row>
    <row r="95" spans="1:15" x14ac:dyDescent="0.35">
      <c r="A95" t="s">
        <v>194</v>
      </c>
      <c r="B95">
        <f>1/L68</f>
        <v>1</v>
      </c>
      <c r="I95" t="s">
        <v>194</v>
      </c>
      <c r="J95" s="23">
        <f>M68/7</f>
        <v>1</v>
      </c>
      <c r="K95" s="19"/>
      <c r="N95" t="s">
        <v>194</v>
      </c>
      <c r="O95" s="23">
        <f>2/N68</f>
        <v>1</v>
      </c>
    </row>
    <row r="96" spans="1:15" x14ac:dyDescent="0.35">
      <c r="A96" t="s">
        <v>195</v>
      </c>
      <c r="B96">
        <f>1/L69</f>
        <v>0.5</v>
      </c>
      <c r="I96" t="s">
        <v>195</v>
      </c>
      <c r="J96" s="23">
        <f t="shared" ref="J96:J99" si="8">M69/7</f>
        <v>1</v>
      </c>
      <c r="N96" t="s">
        <v>195</v>
      </c>
      <c r="O96" s="23">
        <f t="shared" ref="O96" si="9">2/N69</f>
        <v>1</v>
      </c>
    </row>
    <row r="97" spans="1:16" x14ac:dyDescent="0.35">
      <c r="A97" t="s">
        <v>253</v>
      </c>
      <c r="B97">
        <f>1/L70</f>
        <v>0.5</v>
      </c>
      <c r="I97" t="s">
        <v>253</v>
      </c>
      <c r="J97" s="23">
        <f t="shared" si="8"/>
        <v>1</v>
      </c>
      <c r="N97" t="s">
        <v>253</v>
      </c>
      <c r="O97" s="19">
        <f>2/N70</f>
        <v>0.66666666666666663</v>
      </c>
    </row>
    <row r="98" spans="1:16" x14ac:dyDescent="0.35">
      <c r="A98" t="s">
        <v>259</v>
      </c>
      <c r="B98">
        <f>1/L71</f>
        <v>1</v>
      </c>
      <c r="I98" t="s">
        <v>259</v>
      </c>
      <c r="J98" s="23">
        <f t="shared" si="8"/>
        <v>1</v>
      </c>
      <c r="N98" t="s">
        <v>259</v>
      </c>
      <c r="O98" s="23">
        <f t="shared" ref="O98:O99" si="10">2/N71</f>
        <v>1</v>
      </c>
    </row>
    <row r="99" spans="1:16" x14ac:dyDescent="0.35">
      <c r="A99" t="s">
        <v>264</v>
      </c>
      <c r="B99">
        <f t="shared" ref="B99" si="11">1/L72</f>
        <v>1</v>
      </c>
      <c r="I99" t="s">
        <v>264</v>
      </c>
      <c r="J99" s="23">
        <f t="shared" si="8"/>
        <v>1</v>
      </c>
      <c r="N99" t="s">
        <v>264</v>
      </c>
      <c r="O99" s="23">
        <f t="shared" si="10"/>
        <v>1</v>
      </c>
    </row>
    <row r="100" spans="1:16" x14ac:dyDescent="0.35">
      <c r="J100" s="19"/>
      <c r="O100" s="19"/>
    </row>
    <row r="101" spans="1:16" x14ac:dyDescent="0.35">
      <c r="A101" t="s">
        <v>223</v>
      </c>
    </row>
    <row r="103" spans="1:16" x14ac:dyDescent="0.35">
      <c r="A103" s="9" t="s">
        <v>208</v>
      </c>
      <c r="B103" s="9" t="s">
        <v>19</v>
      </c>
      <c r="C103" s="9" t="s">
        <v>20</v>
      </c>
      <c r="D103" s="9"/>
      <c r="E103" s="9"/>
      <c r="F103" s="9" t="s">
        <v>21</v>
      </c>
      <c r="G103" s="9"/>
      <c r="H103" s="9"/>
      <c r="I103" s="9" t="s">
        <v>22</v>
      </c>
      <c r="J103" s="9" t="s">
        <v>23</v>
      </c>
      <c r="K103" s="9" t="s">
        <v>24</v>
      </c>
      <c r="L103" s="9" t="s">
        <v>25</v>
      </c>
      <c r="M103" s="9" t="s">
        <v>26</v>
      </c>
      <c r="N103" s="9" t="s">
        <v>27</v>
      </c>
      <c r="P103" s="9"/>
    </row>
    <row r="104" spans="1:16" x14ac:dyDescent="0.35">
      <c r="A104" s="9" t="s">
        <v>193</v>
      </c>
      <c r="B104" s="9">
        <f>B78</f>
        <v>1</v>
      </c>
      <c r="C104" s="9">
        <f>J78</f>
        <v>0.5</v>
      </c>
      <c r="D104" s="9"/>
      <c r="E104" s="9"/>
      <c r="F104" s="9">
        <f>O78</f>
        <v>1</v>
      </c>
      <c r="G104" s="9"/>
      <c r="H104" s="9"/>
      <c r="I104" s="9">
        <f>B86</f>
        <v>1</v>
      </c>
      <c r="J104" s="9">
        <f>J86</f>
        <v>0.75</v>
      </c>
      <c r="K104" s="20">
        <f>O86</f>
        <v>0.66666666666666663</v>
      </c>
      <c r="L104" s="9">
        <f>B94</f>
        <v>0.25</v>
      </c>
      <c r="M104" s="20">
        <f>J94</f>
        <v>0.42857142857142855</v>
      </c>
      <c r="N104" s="20">
        <f>O94</f>
        <v>1</v>
      </c>
      <c r="P104" s="20"/>
    </row>
    <row r="105" spans="1:16" x14ac:dyDescent="0.35">
      <c r="A105" s="9" t="s">
        <v>194</v>
      </c>
      <c r="B105" s="9">
        <f>B79</f>
        <v>1</v>
      </c>
      <c r="C105" s="9">
        <f>J79</f>
        <v>0.5</v>
      </c>
      <c r="D105" s="9"/>
      <c r="E105" s="9"/>
      <c r="F105" s="9">
        <f>O79</f>
        <v>1</v>
      </c>
      <c r="G105" s="9"/>
      <c r="H105" s="9"/>
      <c r="I105" s="9">
        <f>B87</f>
        <v>1</v>
      </c>
      <c r="J105" s="9">
        <f>J87</f>
        <v>1</v>
      </c>
      <c r="K105" s="20">
        <f>O87</f>
        <v>0.66666666666666663</v>
      </c>
      <c r="L105" s="9">
        <f>B95</f>
        <v>1</v>
      </c>
      <c r="M105" s="20">
        <f>J95</f>
        <v>1</v>
      </c>
      <c r="N105" s="20">
        <f>O95</f>
        <v>1</v>
      </c>
      <c r="P105" s="20"/>
    </row>
    <row r="106" spans="1:16" x14ac:dyDescent="0.35">
      <c r="A106" s="9" t="s">
        <v>195</v>
      </c>
      <c r="B106" s="20">
        <f>B80</f>
        <v>0.33333333333333331</v>
      </c>
      <c r="C106" s="9">
        <f>J80</f>
        <v>1</v>
      </c>
      <c r="D106" s="9"/>
      <c r="E106" s="9"/>
      <c r="F106" s="9">
        <f>O80</f>
        <v>1</v>
      </c>
      <c r="G106" s="9"/>
      <c r="H106" s="9"/>
      <c r="I106" s="9">
        <f>B88</f>
        <v>0.75</v>
      </c>
      <c r="J106" s="9">
        <f>J88</f>
        <v>1</v>
      </c>
      <c r="K106" s="20">
        <f>O88</f>
        <v>0.66666666666666663</v>
      </c>
      <c r="L106" s="9">
        <f>B96</f>
        <v>0.5</v>
      </c>
      <c r="M106" s="9">
        <f>J96</f>
        <v>1</v>
      </c>
      <c r="N106" s="9">
        <f>O96</f>
        <v>1</v>
      </c>
      <c r="P106" s="9"/>
    </row>
    <row r="107" spans="1:16" x14ac:dyDescent="0.35">
      <c r="A107" s="9" t="s">
        <v>253</v>
      </c>
      <c r="B107" s="22">
        <f>B81</f>
        <v>1</v>
      </c>
      <c r="C107" s="9">
        <f t="shared" ref="C107:C109" si="12">J81</f>
        <v>1</v>
      </c>
      <c r="D107" s="9"/>
      <c r="E107" s="9"/>
      <c r="F107" s="9">
        <f t="shared" ref="F107:F109" si="13">O81</f>
        <v>0.75</v>
      </c>
      <c r="G107" s="9"/>
      <c r="H107" s="9"/>
      <c r="I107" s="9">
        <f t="shared" ref="I107:I109" si="14">B89</f>
        <v>1</v>
      </c>
      <c r="J107" s="9">
        <f t="shared" ref="J107:J109" si="15">J89</f>
        <v>0.25</v>
      </c>
      <c r="K107" s="20">
        <f t="shared" ref="K107:K109" si="16">O89</f>
        <v>0.66666666666666663</v>
      </c>
      <c r="L107" s="9">
        <f t="shared" ref="L107:L109" si="17">B97</f>
        <v>0.5</v>
      </c>
      <c r="M107" s="9">
        <f t="shared" ref="M107:M109" si="18">J97</f>
        <v>1</v>
      </c>
      <c r="N107" s="20">
        <f t="shared" ref="N107:N109" si="19">O97</f>
        <v>0.66666666666666663</v>
      </c>
      <c r="O107" s="9"/>
      <c r="P107" s="9"/>
    </row>
    <row r="108" spans="1:16" x14ac:dyDescent="0.35">
      <c r="A108" s="9" t="s">
        <v>259</v>
      </c>
      <c r="B108" s="20">
        <f>B82</f>
        <v>0.5</v>
      </c>
      <c r="C108" s="9">
        <f t="shared" si="12"/>
        <v>0.5</v>
      </c>
      <c r="D108" s="9"/>
      <c r="E108" s="9"/>
      <c r="F108" s="9">
        <f t="shared" si="13"/>
        <v>0.75</v>
      </c>
      <c r="G108" s="9"/>
      <c r="H108" s="9"/>
      <c r="I108" s="9">
        <f t="shared" si="14"/>
        <v>0.75</v>
      </c>
      <c r="J108" s="9">
        <f t="shared" si="15"/>
        <v>0.75</v>
      </c>
      <c r="K108" s="20">
        <f t="shared" si="16"/>
        <v>0.66666666666666663</v>
      </c>
      <c r="L108" s="9">
        <f t="shared" si="17"/>
        <v>1</v>
      </c>
      <c r="M108" s="9">
        <f t="shared" si="18"/>
        <v>1</v>
      </c>
      <c r="N108" s="9">
        <f t="shared" si="19"/>
        <v>1</v>
      </c>
    </row>
    <row r="109" spans="1:16" x14ac:dyDescent="0.35">
      <c r="A109" s="9" t="s">
        <v>264</v>
      </c>
      <c r="B109" s="20">
        <f t="shared" ref="B109" si="20">B83</f>
        <v>0.33333333333333331</v>
      </c>
      <c r="C109" s="9">
        <f t="shared" si="12"/>
        <v>0.5</v>
      </c>
      <c r="D109" s="9"/>
      <c r="E109" s="9"/>
      <c r="F109" s="9">
        <f t="shared" si="13"/>
        <v>0.75</v>
      </c>
      <c r="G109" s="9"/>
      <c r="H109" s="9"/>
      <c r="I109" s="9">
        <f t="shared" si="14"/>
        <v>0.75</v>
      </c>
      <c r="J109" s="9">
        <f t="shared" si="15"/>
        <v>1</v>
      </c>
      <c r="K109" s="20">
        <f t="shared" si="16"/>
        <v>0.66666666666666663</v>
      </c>
      <c r="L109" s="9">
        <f t="shared" si="17"/>
        <v>1</v>
      </c>
      <c r="M109" s="9">
        <f t="shared" si="18"/>
        <v>1</v>
      </c>
      <c r="N109" s="9">
        <f t="shared" si="19"/>
        <v>1</v>
      </c>
    </row>
    <row r="111" spans="1:16" x14ac:dyDescent="0.35">
      <c r="A111" t="s">
        <v>224</v>
      </c>
    </row>
    <row r="113" spans="1:18" x14ac:dyDescent="0.35">
      <c r="A113" s="9" t="s">
        <v>208</v>
      </c>
      <c r="B113" s="9" t="s">
        <v>19</v>
      </c>
      <c r="C113" s="9" t="s">
        <v>20</v>
      </c>
      <c r="D113" s="9"/>
      <c r="E113" s="9"/>
      <c r="F113" s="9" t="s">
        <v>21</v>
      </c>
      <c r="G113" s="9"/>
      <c r="H113" s="9"/>
      <c r="I113" s="9" t="s">
        <v>22</v>
      </c>
      <c r="J113" s="9" t="s">
        <v>23</v>
      </c>
      <c r="K113" s="9" t="s">
        <v>24</v>
      </c>
      <c r="L113" s="9" t="s">
        <v>25</v>
      </c>
      <c r="M113" s="9" t="s">
        <v>26</v>
      </c>
      <c r="N113" s="9" t="s">
        <v>27</v>
      </c>
      <c r="O113" s="9" t="s">
        <v>225</v>
      </c>
      <c r="P113" s="9" t="s">
        <v>226</v>
      </c>
    </row>
    <row r="114" spans="1:18" x14ac:dyDescent="0.35">
      <c r="A114" s="9" t="s">
        <v>193</v>
      </c>
      <c r="B114" s="9">
        <f>B104*C18</f>
        <v>15</v>
      </c>
      <c r="C114" s="9">
        <f>C104*C19</f>
        <v>10</v>
      </c>
      <c r="D114" s="9"/>
      <c r="E114" s="9"/>
      <c r="F114" s="9">
        <f>F104*C20</f>
        <v>15</v>
      </c>
      <c r="G114" s="9"/>
      <c r="H114" s="9"/>
      <c r="I114" s="9">
        <f>I104*C21</f>
        <v>10</v>
      </c>
      <c r="J114" s="9">
        <f>J104*C22</f>
        <v>7.5</v>
      </c>
      <c r="K114" s="20">
        <f>K104*C23</f>
        <v>3.333333333333333</v>
      </c>
      <c r="L114" s="9">
        <f>L104*C24</f>
        <v>1.25</v>
      </c>
      <c r="M114" s="20">
        <f>M104*C25</f>
        <v>2.1428571428571428</v>
      </c>
      <c r="N114" s="20">
        <f>N104*C26</f>
        <v>15</v>
      </c>
      <c r="O114" s="20">
        <f>SUM(B114:N114)</f>
        <v>79.226190476190482</v>
      </c>
      <c r="P114" s="9">
        <f t="shared" ref="P114:P119" si="21">RANK(O114, $O$114:$O$119, 0)</f>
        <v>4</v>
      </c>
    </row>
    <row r="115" spans="1:18" x14ac:dyDescent="0.35">
      <c r="A115" s="9" t="s">
        <v>194</v>
      </c>
      <c r="B115" s="9">
        <f>B105*C18</f>
        <v>15</v>
      </c>
      <c r="C115" s="9">
        <f>C105*C19</f>
        <v>10</v>
      </c>
      <c r="D115" s="9"/>
      <c r="E115" s="9"/>
      <c r="F115" s="9">
        <f>F105*C20</f>
        <v>15</v>
      </c>
      <c r="G115" s="9"/>
      <c r="H115" s="9"/>
      <c r="I115" s="9">
        <f>I105*C21</f>
        <v>10</v>
      </c>
      <c r="J115" s="9">
        <f>J105*C22</f>
        <v>10</v>
      </c>
      <c r="K115" s="20">
        <f>K105*C23</f>
        <v>3.333333333333333</v>
      </c>
      <c r="L115" s="9">
        <f>L105*C24</f>
        <v>5</v>
      </c>
      <c r="M115" s="9">
        <f>M105*C25</f>
        <v>5</v>
      </c>
      <c r="N115" s="20">
        <f>N105*C26</f>
        <v>15</v>
      </c>
      <c r="O115" s="20">
        <f>SUM(B115:N115)</f>
        <v>88.333333333333343</v>
      </c>
      <c r="P115" s="9">
        <f t="shared" si="21"/>
        <v>1</v>
      </c>
    </row>
    <row r="116" spans="1:18" x14ac:dyDescent="0.35">
      <c r="A116" s="9" t="s">
        <v>195</v>
      </c>
      <c r="B116" s="9">
        <f>B106*C18</f>
        <v>5</v>
      </c>
      <c r="C116" s="9">
        <f>C106*C19</f>
        <v>20</v>
      </c>
      <c r="D116" s="9"/>
      <c r="E116" s="9"/>
      <c r="F116" s="9">
        <f>F106*C20</f>
        <v>15</v>
      </c>
      <c r="G116" s="9"/>
      <c r="H116" s="9"/>
      <c r="I116" s="9">
        <f>I106*C21</f>
        <v>7.5</v>
      </c>
      <c r="J116" s="9">
        <f>J106*C22</f>
        <v>10</v>
      </c>
      <c r="K116" s="20">
        <f>K106*C23</f>
        <v>3.333333333333333</v>
      </c>
      <c r="L116" s="9">
        <f>L106*C24</f>
        <v>2.5</v>
      </c>
      <c r="M116" s="9">
        <f>M106*C25</f>
        <v>5</v>
      </c>
      <c r="N116" s="9">
        <f>N106*C26</f>
        <v>15</v>
      </c>
      <c r="O116" s="20">
        <f>SUM(B116:N116)</f>
        <v>83.333333333333343</v>
      </c>
      <c r="P116" s="9">
        <f t="shared" si="21"/>
        <v>2</v>
      </c>
    </row>
    <row r="117" spans="1:18" x14ac:dyDescent="0.35">
      <c r="A117" s="9" t="s">
        <v>253</v>
      </c>
      <c r="B117" s="9">
        <f>B107*C18</f>
        <v>15</v>
      </c>
      <c r="C117" s="9">
        <f>C107*C19</f>
        <v>20</v>
      </c>
      <c r="D117" s="9"/>
      <c r="E117" s="9"/>
      <c r="F117" s="9">
        <f>F107*C20</f>
        <v>11.25</v>
      </c>
      <c r="G117" s="9"/>
      <c r="H117" s="9"/>
      <c r="I117" s="9">
        <f>I107*C21</f>
        <v>10</v>
      </c>
      <c r="J117" s="9">
        <f>J107*C22</f>
        <v>2.5</v>
      </c>
      <c r="K117" s="20">
        <f>K107*C23</f>
        <v>3.333333333333333</v>
      </c>
      <c r="L117" s="9">
        <f>L107*C24</f>
        <v>2.5</v>
      </c>
      <c r="M117" s="9">
        <f>M107*C25</f>
        <v>5</v>
      </c>
      <c r="N117" s="20">
        <f>N107*C26</f>
        <v>10</v>
      </c>
      <c r="O117" s="20">
        <f t="shared" ref="O117:O119" si="22">SUM(B117:N117)</f>
        <v>79.583333333333343</v>
      </c>
      <c r="P117" s="9">
        <f t="shared" si="21"/>
        <v>3</v>
      </c>
      <c r="R117" s="9"/>
    </row>
    <row r="118" spans="1:18" x14ac:dyDescent="0.35">
      <c r="A118" s="9" t="s">
        <v>259</v>
      </c>
      <c r="B118" s="9">
        <f>B108*C18</f>
        <v>7.5</v>
      </c>
      <c r="C118" s="9">
        <f>C108*C19</f>
        <v>10</v>
      </c>
      <c r="D118" s="9"/>
      <c r="E118" s="9"/>
      <c r="F118" s="9">
        <f>F108*C20</f>
        <v>11.25</v>
      </c>
      <c r="G118" s="9"/>
      <c r="H118" s="9"/>
      <c r="I118" s="9">
        <f>I108*C21</f>
        <v>7.5</v>
      </c>
      <c r="J118" s="9">
        <f>J108*C22</f>
        <v>7.5</v>
      </c>
      <c r="K118" s="20">
        <f>K108*C23</f>
        <v>3.333333333333333</v>
      </c>
      <c r="L118" s="9">
        <f>L108*C24</f>
        <v>5</v>
      </c>
      <c r="M118" s="9">
        <f>M108*C25</f>
        <v>5</v>
      </c>
      <c r="N118" s="9">
        <f>N108*C26</f>
        <v>15</v>
      </c>
      <c r="O118" s="20">
        <f t="shared" si="22"/>
        <v>72.083333333333343</v>
      </c>
      <c r="P118" s="9">
        <f>RANK(O118, $O$114:$O$119, 0)</f>
        <v>5</v>
      </c>
    </row>
    <row r="119" spans="1:18" x14ac:dyDescent="0.35">
      <c r="A119" s="9" t="s">
        <v>264</v>
      </c>
      <c r="B119" s="9">
        <f>B109*C18</f>
        <v>5</v>
      </c>
      <c r="C119" s="9">
        <f>C109*19</f>
        <v>9.5</v>
      </c>
      <c r="D119" s="9"/>
      <c r="E119" s="9"/>
      <c r="F119" s="9">
        <f>F109*C20</f>
        <v>11.25</v>
      </c>
      <c r="G119" s="9"/>
      <c r="H119" s="9"/>
      <c r="I119" s="9">
        <f>I109*C21</f>
        <v>7.5</v>
      </c>
      <c r="J119" s="9">
        <f>J109*C22</f>
        <v>10</v>
      </c>
      <c r="K119" s="20">
        <f>K109*C23</f>
        <v>3.333333333333333</v>
      </c>
      <c r="L119" s="9">
        <f>L109*C24</f>
        <v>5</v>
      </c>
      <c r="M119" s="9">
        <f>M109*C25</f>
        <v>5</v>
      </c>
      <c r="N119" s="9">
        <f>N109*C26</f>
        <v>15</v>
      </c>
      <c r="O119" s="20">
        <f t="shared" si="22"/>
        <v>71.583333333333343</v>
      </c>
      <c r="P119" s="9">
        <f t="shared" si="21"/>
        <v>6</v>
      </c>
    </row>
  </sheetData>
  <phoneticPr fontId="1" type="noConversion"/>
  <conditionalFormatting sqref="P49">
    <cfRule type="duplicateValues" dxfId="3" priority="3"/>
  </conditionalFormatting>
  <conditionalFormatting sqref="P50">
    <cfRule type="duplicateValues" dxfId="2" priority="1"/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D87DC-8644-42C8-A7E5-56F463ADE935}">
  <dimension ref="A1:U112"/>
  <sheetViews>
    <sheetView topLeftCell="A93" zoomScale="88" workbookViewId="0">
      <selection activeCell="G101" sqref="G101"/>
    </sheetView>
  </sheetViews>
  <sheetFormatPr defaultRowHeight="14.5" x14ac:dyDescent="0.35"/>
  <cols>
    <col min="1" max="1" width="19.6328125" customWidth="1"/>
    <col min="2" max="2" width="18.81640625" customWidth="1"/>
    <col min="3" max="3" width="10.1796875" customWidth="1"/>
    <col min="4" max="4" width="20.453125" customWidth="1"/>
    <col min="6" max="6" width="27.453125" customWidth="1"/>
    <col min="7" max="7" width="10.54296875" customWidth="1"/>
    <col min="8" max="8" width="11.08984375" customWidth="1"/>
    <col min="9" max="9" width="14.453125" customWidth="1"/>
    <col min="10" max="10" width="15.81640625" customWidth="1"/>
    <col min="11" max="11" width="13" customWidth="1"/>
    <col min="12" max="12" width="11.453125" customWidth="1"/>
    <col min="14" max="14" width="20.1796875" customWidth="1"/>
    <col min="18" max="18" width="17.453125" customWidth="1"/>
  </cols>
  <sheetData>
    <row r="1" spans="1:21" x14ac:dyDescent="0.35">
      <c r="A1" t="s">
        <v>172</v>
      </c>
      <c r="E1" t="s">
        <v>187</v>
      </c>
      <c r="U1" t="s">
        <v>40</v>
      </c>
    </row>
    <row r="2" spans="1:21" x14ac:dyDescent="0.35">
      <c r="U2" t="s">
        <v>64</v>
      </c>
    </row>
    <row r="3" spans="1:21" x14ac:dyDescent="0.35">
      <c r="A3" s="9" t="s">
        <v>19</v>
      </c>
      <c r="B3" s="17" t="s">
        <v>0</v>
      </c>
      <c r="E3" t="s">
        <v>19</v>
      </c>
      <c r="F3" t="s">
        <v>30</v>
      </c>
      <c r="I3" t="s">
        <v>22</v>
      </c>
      <c r="J3" t="s">
        <v>3</v>
      </c>
      <c r="M3" t="s">
        <v>25</v>
      </c>
      <c r="N3" t="s">
        <v>40</v>
      </c>
      <c r="U3" t="s">
        <v>65</v>
      </c>
    </row>
    <row r="4" spans="1:21" x14ac:dyDescent="0.35">
      <c r="A4" s="9" t="s">
        <v>20</v>
      </c>
      <c r="B4" s="17" t="s">
        <v>1</v>
      </c>
      <c r="F4" t="s">
        <v>29</v>
      </c>
      <c r="G4" t="s">
        <v>11</v>
      </c>
      <c r="J4" t="s">
        <v>29</v>
      </c>
      <c r="K4" t="s">
        <v>11</v>
      </c>
      <c r="N4" t="s">
        <v>29</v>
      </c>
      <c r="O4" t="s">
        <v>11</v>
      </c>
      <c r="U4" t="s">
        <v>137</v>
      </c>
    </row>
    <row r="5" spans="1:21" x14ac:dyDescent="0.35">
      <c r="A5" s="9" t="s">
        <v>21</v>
      </c>
      <c r="B5" s="17" t="s">
        <v>2</v>
      </c>
      <c r="F5" t="s">
        <v>31</v>
      </c>
      <c r="G5">
        <v>1</v>
      </c>
      <c r="J5" t="s">
        <v>51</v>
      </c>
      <c r="K5">
        <v>1</v>
      </c>
      <c r="N5">
        <v>1</v>
      </c>
      <c r="O5">
        <v>1</v>
      </c>
      <c r="U5" t="s">
        <v>66</v>
      </c>
    </row>
    <row r="6" spans="1:21" x14ac:dyDescent="0.35">
      <c r="A6" s="9" t="s">
        <v>22</v>
      </c>
      <c r="B6" s="17" t="s">
        <v>3</v>
      </c>
      <c r="F6" t="s">
        <v>200</v>
      </c>
      <c r="G6">
        <v>2</v>
      </c>
      <c r="J6" t="s">
        <v>52</v>
      </c>
      <c r="K6">
        <v>2</v>
      </c>
      <c r="N6">
        <v>2</v>
      </c>
      <c r="O6">
        <v>2</v>
      </c>
      <c r="U6" t="s">
        <v>136</v>
      </c>
    </row>
    <row r="7" spans="1:21" x14ac:dyDescent="0.35">
      <c r="A7" s="9" t="s">
        <v>23</v>
      </c>
      <c r="B7" s="17" t="s">
        <v>4</v>
      </c>
      <c r="F7" t="s">
        <v>201</v>
      </c>
      <c r="G7">
        <v>3</v>
      </c>
      <c r="J7" t="s">
        <v>53</v>
      </c>
      <c r="K7">
        <v>3</v>
      </c>
      <c r="N7">
        <v>3</v>
      </c>
      <c r="O7">
        <v>3</v>
      </c>
    </row>
    <row r="8" spans="1:21" x14ac:dyDescent="0.35">
      <c r="A8" s="9" t="s">
        <v>24</v>
      </c>
      <c r="B8" s="17" t="s">
        <v>5</v>
      </c>
      <c r="F8" t="s">
        <v>202</v>
      </c>
      <c r="G8">
        <v>4</v>
      </c>
      <c r="J8" t="s">
        <v>54</v>
      </c>
      <c r="K8">
        <v>4</v>
      </c>
      <c r="N8">
        <v>4</v>
      </c>
      <c r="O8">
        <v>4</v>
      </c>
      <c r="U8" t="s">
        <v>1</v>
      </c>
    </row>
    <row r="9" spans="1:21" x14ac:dyDescent="0.35">
      <c r="A9" s="9" t="s">
        <v>25</v>
      </c>
      <c r="B9" s="17" t="s">
        <v>6</v>
      </c>
      <c r="F9" t="s">
        <v>35</v>
      </c>
      <c r="G9">
        <v>5</v>
      </c>
      <c r="J9" t="s">
        <v>55</v>
      </c>
      <c r="K9">
        <v>5</v>
      </c>
      <c r="N9">
        <v>5</v>
      </c>
      <c r="O9">
        <v>5</v>
      </c>
      <c r="U9" t="s">
        <v>134</v>
      </c>
    </row>
    <row r="10" spans="1:21" x14ac:dyDescent="0.35">
      <c r="A10" s="9" t="s">
        <v>26</v>
      </c>
      <c r="B10" s="17" t="s">
        <v>7</v>
      </c>
      <c r="U10" t="s">
        <v>72</v>
      </c>
    </row>
    <row r="11" spans="1:21" x14ac:dyDescent="0.35">
      <c r="A11" s="9" t="s">
        <v>27</v>
      </c>
      <c r="B11" s="17" t="s">
        <v>8</v>
      </c>
      <c r="E11" t="s">
        <v>20</v>
      </c>
      <c r="F11" s="1" t="s">
        <v>1</v>
      </c>
      <c r="I11" t="s">
        <v>23</v>
      </c>
      <c r="J11" t="s">
        <v>4</v>
      </c>
      <c r="M11" t="s">
        <v>26</v>
      </c>
      <c r="N11" t="s">
        <v>41</v>
      </c>
      <c r="Q11" t="s">
        <v>28</v>
      </c>
      <c r="R11" t="s">
        <v>43</v>
      </c>
      <c r="U11" t="s">
        <v>73</v>
      </c>
    </row>
    <row r="12" spans="1:21" x14ac:dyDescent="0.35">
      <c r="A12" s="9" t="s">
        <v>28</v>
      </c>
      <c r="B12" s="17" t="s">
        <v>9</v>
      </c>
      <c r="F12" t="s">
        <v>29</v>
      </c>
      <c r="G12" t="s">
        <v>11</v>
      </c>
      <c r="J12" t="s">
        <v>29</v>
      </c>
      <c r="K12" t="s">
        <v>11</v>
      </c>
      <c r="N12" t="s">
        <v>29</v>
      </c>
      <c r="O12" t="s">
        <v>11</v>
      </c>
      <c r="R12" t="s">
        <v>29</v>
      </c>
      <c r="S12" t="s">
        <v>11</v>
      </c>
      <c r="U12" t="s">
        <v>74</v>
      </c>
    </row>
    <row r="13" spans="1:21" x14ac:dyDescent="0.35">
      <c r="B13" s="15"/>
      <c r="F13" t="s">
        <v>140</v>
      </c>
      <c r="G13">
        <v>1</v>
      </c>
      <c r="J13" t="s">
        <v>56</v>
      </c>
      <c r="K13">
        <v>1</v>
      </c>
      <c r="N13" t="s">
        <v>205</v>
      </c>
      <c r="O13">
        <v>1</v>
      </c>
      <c r="R13" t="s">
        <v>68</v>
      </c>
      <c r="S13">
        <v>1</v>
      </c>
      <c r="U13" t="s">
        <v>75</v>
      </c>
    </row>
    <row r="14" spans="1:21" x14ac:dyDescent="0.35">
      <c r="B14" s="15"/>
      <c r="F14" t="s">
        <v>209</v>
      </c>
      <c r="G14">
        <v>2</v>
      </c>
      <c r="J14" t="s">
        <v>142</v>
      </c>
      <c r="K14">
        <v>2</v>
      </c>
      <c r="N14" t="s">
        <v>204</v>
      </c>
      <c r="O14">
        <v>2</v>
      </c>
      <c r="R14" t="s">
        <v>69</v>
      </c>
      <c r="S14">
        <v>2</v>
      </c>
      <c r="U14" t="s">
        <v>76</v>
      </c>
    </row>
    <row r="15" spans="1:21" x14ac:dyDescent="0.35">
      <c r="A15" s="18" t="s">
        <v>171</v>
      </c>
      <c r="B15" s="15"/>
      <c r="F15" t="s">
        <v>210</v>
      </c>
      <c r="G15">
        <v>3</v>
      </c>
      <c r="J15" t="s">
        <v>57</v>
      </c>
      <c r="K15">
        <v>3</v>
      </c>
      <c r="N15" t="s">
        <v>67</v>
      </c>
      <c r="O15">
        <v>3</v>
      </c>
      <c r="R15" t="s">
        <v>70</v>
      </c>
      <c r="S15">
        <v>3</v>
      </c>
      <c r="U15" t="s">
        <v>74</v>
      </c>
    </row>
    <row r="16" spans="1:21" x14ac:dyDescent="0.35">
      <c r="A16" s="9"/>
      <c r="B16" s="15"/>
      <c r="F16" t="s">
        <v>211</v>
      </c>
      <c r="G16">
        <v>4</v>
      </c>
      <c r="J16" t="s">
        <v>58</v>
      </c>
      <c r="K16">
        <v>4</v>
      </c>
      <c r="R16" t="s">
        <v>71</v>
      </c>
      <c r="S16">
        <v>4</v>
      </c>
      <c r="U16" t="s">
        <v>135</v>
      </c>
    </row>
    <row r="17" spans="1:21" ht="43.5" x14ac:dyDescent="0.35">
      <c r="A17" s="15" t="s">
        <v>173</v>
      </c>
      <c r="B17" s="15" t="s">
        <v>174</v>
      </c>
      <c r="C17" s="15" t="s">
        <v>11</v>
      </c>
      <c r="F17" t="s">
        <v>141</v>
      </c>
      <c r="G17">
        <v>5</v>
      </c>
      <c r="J17" s="3" t="s">
        <v>143</v>
      </c>
      <c r="K17">
        <v>5</v>
      </c>
      <c r="U17" t="s">
        <v>138</v>
      </c>
    </row>
    <row r="18" spans="1:21" x14ac:dyDescent="0.35">
      <c r="A18" s="9" t="s">
        <v>19</v>
      </c>
      <c r="B18" s="15" t="s">
        <v>175</v>
      </c>
      <c r="C18" s="15">
        <f>Ressponden!B2</f>
        <v>18.399999999999999</v>
      </c>
      <c r="M18" t="s">
        <v>27</v>
      </c>
      <c r="N18" t="s">
        <v>42</v>
      </c>
      <c r="U18" t="s">
        <v>139</v>
      </c>
    </row>
    <row r="19" spans="1:21" x14ac:dyDescent="0.35">
      <c r="A19" s="9" t="s">
        <v>20</v>
      </c>
      <c r="B19" s="15" t="s">
        <v>176</v>
      </c>
      <c r="C19" s="15">
        <f>Ressponden!B3</f>
        <v>11.2</v>
      </c>
      <c r="N19" t="s">
        <v>29</v>
      </c>
      <c r="O19" t="s">
        <v>11</v>
      </c>
    </row>
    <row r="20" spans="1:21" x14ac:dyDescent="0.35">
      <c r="A20" s="9" t="s">
        <v>21</v>
      </c>
      <c r="B20" s="15" t="s">
        <v>177</v>
      </c>
      <c r="C20" s="15">
        <f>Ressponden!B4</f>
        <v>10.6</v>
      </c>
      <c r="N20" t="s">
        <v>205</v>
      </c>
      <c r="O20">
        <v>1</v>
      </c>
    </row>
    <row r="21" spans="1:21" x14ac:dyDescent="0.35">
      <c r="A21" s="9" t="s">
        <v>22</v>
      </c>
      <c r="B21" s="15" t="s">
        <v>178</v>
      </c>
      <c r="C21" s="15">
        <f>Ressponden!B5</f>
        <v>11.6</v>
      </c>
      <c r="E21" t="s">
        <v>21</v>
      </c>
      <c r="F21" t="s">
        <v>2</v>
      </c>
      <c r="I21" t="s">
        <v>24</v>
      </c>
      <c r="J21" t="s">
        <v>5</v>
      </c>
      <c r="N21" t="s">
        <v>204</v>
      </c>
      <c r="O21">
        <v>2</v>
      </c>
    </row>
    <row r="22" spans="1:21" x14ac:dyDescent="0.35">
      <c r="A22" s="9" t="s">
        <v>23</v>
      </c>
      <c r="B22" s="15" t="s">
        <v>179</v>
      </c>
      <c r="C22" s="15">
        <f>Ressponden!B6</f>
        <v>14.2</v>
      </c>
      <c r="F22" t="s">
        <v>39</v>
      </c>
      <c r="G22" t="s">
        <v>11</v>
      </c>
      <c r="J22" t="s">
        <v>29</v>
      </c>
      <c r="K22" t="s">
        <v>11</v>
      </c>
      <c r="N22" t="s">
        <v>67</v>
      </c>
      <c r="O22">
        <v>3</v>
      </c>
    </row>
    <row r="23" spans="1:21" x14ac:dyDescent="0.35">
      <c r="A23" s="9" t="s">
        <v>24</v>
      </c>
      <c r="B23" s="15" t="s">
        <v>180</v>
      </c>
      <c r="C23" s="15">
        <f>Ressponden!B7</f>
        <v>7.2</v>
      </c>
      <c r="F23" t="s">
        <v>50</v>
      </c>
      <c r="G23">
        <v>1</v>
      </c>
      <c r="J23" t="s">
        <v>59</v>
      </c>
      <c r="K23">
        <v>1</v>
      </c>
    </row>
    <row r="24" spans="1:21" x14ac:dyDescent="0.35">
      <c r="A24" s="9" t="s">
        <v>25</v>
      </c>
      <c r="B24" s="15" t="s">
        <v>181</v>
      </c>
      <c r="C24" s="15">
        <f>Ressponden!B8</f>
        <v>7</v>
      </c>
      <c r="F24" t="s">
        <v>46</v>
      </c>
      <c r="G24">
        <v>2</v>
      </c>
      <c r="J24" t="s">
        <v>60</v>
      </c>
      <c r="K24">
        <v>2</v>
      </c>
    </row>
    <row r="25" spans="1:21" x14ac:dyDescent="0.35">
      <c r="A25" s="9" t="s">
        <v>26</v>
      </c>
      <c r="B25" s="15" t="s">
        <v>182</v>
      </c>
      <c r="C25" s="15">
        <f>Ressponden!B9</f>
        <v>6</v>
      </c>
      <c r="F25" t="s">
        <v>47</v>
      </c>
      <c r="G25">
        <v>3</v>
      </c>
      <c r="J25" t="s">
        <v>61</v>
      </c>
      <c r="K25">
        <v>3</v>
      </c>
    </row>
    <row r="26" spans="1:21" x14ac:dyDescent="0.35">
      <c r="A26" s="9" t="s">
        <v>27</v>
      </c>
      <c r="B26" s="15" t="s">
        <v>183</v>
      </c>
      <c r="C26" s="15">
        <f>Ressponden!B10</f>
        <v>7</v>
      </c>
      <c r="F26" t="s">
        <v>48</v>
      </c>
      <c r="G26">
        <v>4</v>
      </c>
      <c r="J26" t="s">
        <v>62</v>
      </c>
      <c r="K26">
        <v>4</v>
      </c>
    </row>
    <row r="27" spans="1:21" x14ac:dyDescent="0.35">
      <c r="A27" s="9" t="s">
        <v>28</v>
      </c>
      <c r="B27" s="15" t="s">
        <v>184</v>
      </c>
      <c r="C27" s="15">
        <f>Ressponden!B11</f>
        <v>6.8</v>
      </c>
      <c r="F27" t="s">
        <v>49</v>
      </c>
      <c r="G27">
        <v>5</v>
      </c>
      <c r="J27" t="s">
        <v>63</v>
      </c>
      <c r="K27">
        <v>5</v>
      </c>
    </row>
    <row r="28" spans="1:21" x14ac:dyDescent="0.35">
      <c r="A28" s="4"/>
      <c r="B28" s="4"/>
      <c r="C28" s="4">
        <f>Ressponden!B12</f>
        <v>100</v>
      </c>
    </row>
    <row r="30" spans="1:21" x14ac:dyDescent="0.35">
      <c r="A30" s="18" t="s">
        <v>185</v>
      </c>
    </row>
    <row r="32" spans="1:21" x14ac:dyDescent="0.35">
      <c r="A32" s="15" t="s">
        <v>173</v>
      </c>
      <c r="B32" s="9" t="s">
        <v>186</v>
      </c>
    </row>
    <row r="33" spans="1:12" x14ac:dyDescent="0.35">
      <c r="A33" s="9" t="s">
        <v>19</v>
      </c>
      <c r="B33" s="9" t="s">
        <v>37</v>
      </c>
    </row>
    <row r="34" spans="1:12" x14ac:dyDescent="0.35">
      <c r="A34" s="9" t="s">
        <v>20</v>
      </c>
      <c r="B34" s="9" t="s">
        <v>38</v>
      </c>
    </row>
    <row r="35" spans="1:12" x14ac:dyDescent="0.35">
      <c r="A35" s="9" t="s">
        <v>21</v>
      </c>
      <c r="B35" s="9" t="s">
        <v>38</v>
      </c>
    </row>
    <row r="36" spans="1:12" x14ac:dyDescent="0.35">
      <c r="A36" s="9" t="s">
        <v>22</v>
      </c>
      <c r="B36" s="9" t="s">
        <v>37</v>
      </c>
    </row>
    <row r="37" spans="1:12" x14ac:dyDescent="0.35">
      <c r="A37" s="9" t="s">
        <v>23</v>
      </c>
      <c r="B37" s="9" t="s">
        <v>38</v>
      </c>
    </row>
    <row r="38" spans="1:12" x14ac:dyDescent="0.35">
      <c r="A38" s="9" t="s">
        <v>24</v>
      </c>
      <c r="B38" s="9" t="s">
        <v>37</v>
      </c>
    </row>
    <row r="39" spans="1:12" x14ac:dyDescent="0.35">
      <c r="A39" s="9" t="s">
        <v>25</v>
      </c>
      <c r="B39" s="9" t="s">
        <v>38</v>
      </c>
    </row>
    <row r="40" spans="1:12" x14ac:dyDescent="0.35">
      <c r="A40" s="9" t="s">
        <v>26</v>
      </c>
      <c r="B40" s="9" t="s">
        <v>38</v>
      </c>
    </row>
    <row r="41" spans="1:12" x14ac:dyDescent="0.35">
      <c r="A41" s="9" t="s">
        <v>27</v>
      </c>
      <c r="B41" s="9" t="s">
        <v>38</v>
      </c>
    </row>
    <row r="42" spans="1:12" x14ac:dyDescent="0.35">
      <c r="A42" s="9" t="s">
        <v>28</v>
      </c>
      <c r="B42" s="9" t="s">
        <v>38</v>
      </c>
    </row>
    <row r="46" spans="1:12" x14ac:dyDescent="0.35">
      <c r="A46" s="9" t="s">
        <v>188</v>
      </c>
    </row>
    <row r="47" spans="1:12" x14ac:dyDescent="0.35">
      <c r="A47" s="18"/>
    </row>
    <row r="48" spans="1:12" ht="43.5" x14ac:dyDescent="0.35">
      <c r="A48" s="16" t="s">
        <v>77</v>
      </c>
      <c r="B48" s="16" t="s">
        <v>78</v>
      </c>
      <c r="C48" s="16" t="s">
        <v>144</v>
      </c>
      <c r="D48" s="16" t="s">
        <v>1</v>
      </c>
      <c r="E48" s="16" t="s">
        <v>145</v>
      </c>
      <c r="F48" s="16" t="s">
        <v>146</v>
      </c>
      <c r="G48" s="16" t="s">
        <v>4</v>
      </c>
      <c r="H48" s="16" t="s">
        <v>5</v>
      </c>
      <c r="I48" s="16" t="s">
        <v>40</v>
      </c>
      <c r="J48" s="16" t="s">
        <v>41</v>
      </c>
      <c r="K48" s="16" t="s">
        <v>42</v>
      </c>
      <c r="L48" s="16" t="s">
        <v>43</v>
      </c>
    </row>
    <row r="49" spans="1:12" x14ac:dyDescent="0.35">
      <c r="A49" s="12">
        <v>1</v>
      </c>
      <c r="B49" s="16"/>
      <c r="C49" s="12"/>
      <c r="D49" s="12"/>
      <c r="E49" s="12"/>
      <c r="F49" s="12"/>
      <c r="G49" s="12"/>
      <c r="H49" s="12"/>
      <c r="I49" s="12"/>
      <c r="J49" s="12"/>
      <c r="K49" s="12"/>
      <c r="L49" s="12"/>
    </row>
    <row r="50" spans="1:12" x14ac:dyDescent="0.35">
      <c r="A50" s="12">
        <v>2</v>
      </c>
      <c r="B50" s="16"/>
      <c r="C50" s="14"/>
      <c r="D50" s="12"/>
      <c r="E50" s="12"/>
      <c r="F50" s="12"/>
      <c r="G50" s="12"/>
      <c r="H50" s="12"/>
      <c r="I50" s="12"/>
      <c r="J50" s="12"/>
      <c r="K50" s="12"/>
      <c r="L50" s="12"/>
    </row>
    <row r="51" spans="1:12" x14ac:dyDescent="0.35">
      <c r="A51" s="12">
        <v>3</v>
      </c>
      <c r="B51" s="16"/>
      <c r="C51" s="12"/>
      <c r="D51" s="12"/>
      <c r="E51" s="12"/>
      <c r="F51" s="12"/>
      <c r="G51" s="12"/>
      <c r="H51" s="12"/>
      <c r="I51" s="12"/>
      <c r="J51" s="12"/>
      <c r="K51" s="12"/>
      <c r="L51" s="12"/>
    </row>
    <row r="54" spans="1:12" x14ac:dyDescent="0.35">
      <c r="A54" t="s">
        <v>192</v>
      </c>
    </row>
    <row r="56" spans="1:12" x14ac:dyDescent="0.35">
      <c r="A56" s="9" t="s">
        <v>170</v>
      </c>
      <c r="B56" s="9" t="s">
        <v>196</v>
      </c>
      <c r="C56" s="9" t="s">
        <v>19</v>
      </c>
      <c r="D56" s="9" t="s">
        <v>20</v>
      </c>
      <c r="E56" s="9" t="s">
        <v>21</v>
      </c>
      <c r="F56" s="9" t="s">
        <v>22</v>
      </c>
      <c r="G56" s="9" t="s">
        <v>23</v>
      </c>
      <c r="H56" s="9" t="s">
        <v>24</v>
      </c>
      <c r="I56" s="9" t="s">
        <v>25</v>
      </c>
      <c r="J56" s="9" t="s">
        <v>26</v>
      </c>
      <c r="K56" s="9" t="s">
        <v>27</v>
      </c>
      <c r="L56" s="9" t="s">
        <v>28</v>
      </c>
    </row>
    <row r="57" spans="1:12" x14ac:dyDescent="0.35">
      <c r="A57" s="9" t="s">
        <v>193</v>
      </c>
      <c r="B57" s="9"/>
      <c r="C57" s="12"/>
      <c r="D57" s="12"/>
      <c r="E57" s="12"/>
      <c r="F57" s="12"/>
      <c r="G57" s="12"/>
      <c r="H57" s="12"/>
      <c r="I57" s="12"/>
      <c r="J57" s="12"/>
      <c r="K57" s="12"/>
      <c r="L57" s="12"/>
    </row>
    <row r="58" spans="1:12" x14ac:dyDescent="0.35">
      <c r="A58" s="9" t="s">
        <v>194</v>
      </c>
      <c r="B58" s="9"/>
      <c r="C58" s="14"/>
      <c r="D58" s="12"/>
      <c r="E58" s="12"/>
      <c r="F58" s="12"/>
      <c r="G58" s="12"/>
      <c r="H58" s="12"/>
      <c r="I58" s="12"/>
      <c r="J58" s="12"/>
      <c r="K58" s="12"/>
      <c r="L58" s="12"/>
    </row>
    <row r="59" spans="1:12" x14ac:dyDescent="0.35">
      <c r="A59" s="9" t="s">
        <v>195</v>
      </c>
      <c r="B59" s="9"/>
      <c r="C59" s="12"/>
      <c r="D59" s="12"/>
      <c r="E59" s="12"/>
      <c r="F59" s="12"/>
      <c r="G59" s="12"/>
      <c r="H59" s="12"/>
      <c r="I59" s="12"/>
      <c r="J59" s="12"/>
      <c r="K59" s="12"/>
      <c r="L59" s="12"/>
    </row>
    <row r="63" spans="1:12" x14ac:dyDescent="0.35">
      <c r="A63" t="s">
        <v>207</v>
      </c>
    </row>
    <row r="65" spans="1:11" x14ac:dyDescent="0.35">
      <c r="A65" s="9" t="s">
        <v>208</v>
      </c>
      <c r="B65" s="9" t="s">
        <v>19</v>
      </c>
      <c r="C65" s="9" t="s">
        <v>20</v>
      </c>
      <c r="D65" s="9" t="s">
        <v>21</v>
      </c>
      <c r="E65" s="9" t="s">
        <v>22</v>
      </c>
      <c r="F65" s="9" t="s">
        <v>23</v>
      </c>
      <c r="G65" s="9" t="s">
        <v>24</v>
      </c>
      <c r="H65" s="9" t="s">
        <v>25</v>
      </c>
      <c r="I65" s="9" t="s">
        <v>26</v>
      </c>
      <c r="J65" s="9" t="s">
        <v>27</v>
      </c>
      <c r="K65" s="9" t="s">
        <v>28</v>
      </c>
    </row>
    <row r="66" spans="1:11" x14ac:dyDescent="0.35">
      <c r="A66" s="9" t="s">
        <v>193</v>
      </c>
      <c r="B66" s="9"/>
      <c r="C66" s="9"/>
      <c r="D66" s="9"/>
      <c r="E66" s="9"/>
      <c r="F66" s="9"/>
      <c r="G66" s="9"/>
      <c r="H66" s="9"/>
      <c r="I66" s="9"/>
      <c r="J66" s="9"/>
      <c r="K66" s="9"/>
    </row>
    <row r="67" spans="1:11" x14ac:dyDescent="0.35">
      <c r="A67" s="9" t="s">
        <v>194</v>
      </c>
      <c r="B67" s="9"/>
      <c r="C67" s="9"/>
      <c r="D67" s="9"/>
      <c r="E67" s="9"/>
      <c r="F67" s="9"/>
      <c r="G67" s="9"/>
      <c r="H67" s="9"/>
      <c r="I67" s="9"/>
      <c r="J67" s="9"/>
      <c r="K67" s="9"/>
    </row>
    <row r="68" spans="1:11" x14ac:dyDescent="0.35">
      <c r="A68" s="9" t="s">
        <v>195</v>
      </c>
      <c r="B68" s="9"/>
      <c r="C68" s="9"/>
      <c r="D68" s="9"/>
      <c r="E68" s="9"/>
      <c r="F68" s="9"/>
      <c r="G68" s="9"/>
      <c r="H68" s="9"/>
      <c r="I68" s="9"/>
      <c r="J68" s="9"/>
      <c r="K68" s="9"/>
    </row>
    <row r="70" spans="1:11" x14ac:dyDescent="0.35">
      <c r="A70" s="18" t="s">
        <v>212</v>
      </c>
    </row>
    <row r="73" spans="1:11" x14ac:dyDescent="0.35">
      <c r="A73" t="s">
        <v>213</v>
      </c>
      <c r="E73" t="s">
        <v>214</v>
      </c>
      <c r="I73" t="s">
        <v>215</v>
      </c>
    </row>
    <row r="74" spans="1:11" x14ac:dyDescent="0.35">
      <c r="A74" t="s">
        <v>193</v>
      </c>
      <c r="B74" t="e">
        <f>2/B66</f>
        <v>#DIV/0!</v>
      </c>
      <c r="E74" t="s">
        <v>193</v>
      </c>
      <c r="F74">
        <f>C66/4</f>
        <v>0</v>
      </c>
      <c r="I74" t="s">
        <v>193</v>
      </c>
      <c r="J74">
        <f>D66/4</f>
        <v>0</v>
      </c>
    </row>
    <row r="75" spans="1:11" x14ac:dyDescent="0.35">
      <c r="A75" t="s">
        <v>194</v>
      </c>
      <c r="B75" t="e">
        <f t="shared" ref="B75:B76" si="0">2/B67</f>
        <v>#DIV/0!</v>
      </c>
      <c r="E75" t="s">
        <v>194</v>
      </c>
      <c r="F75">
        <f t="shared" ref="F75:F76" si="1">C67/4</f>
        <v>0</v>
      </c>
      <c r="I75" t="s">
        <v>194</v>
      </c>
      <c r="J75">
        <f t="shared" ref="J75:J76" si="2">D67/4</f>
        <v>0</v>
      </c>
    </row>
    <row r="76" spans="1:11" x14ac:dyDescent="0.35">
      <c r="A76" t="s">
        <v>195</v>
      </c>
      <c r="B76" t="e">
        <f t="shared" si="0"/>
        <v>#DIV/0!</v>
      </c>
      <c r="E76" t="s">
        <v>195</v>
      </c>
      <c r="F76">
        <f t="shared" si="1"/>
        <v>0</v>
      </c>
      <c r="I76" t="s">
        <v>195</v>
      </c>
      <c r="J76">
        <f t="shared" si="2"/>
        <v>0</v>
      </c>
    </row>
    <row r="79" spans="1:11" x14ac:dyDescent="0.35">
      <c r="A79" t="s">
        <v>216</v>
      </c>
      <c r="E79" t="s">
        <v>217</v>
      </c>
      <c r="I79" t="s">
        <v>218</v>
      </c>
    </row>
    <row r="80" spans="1:11" x14ac:dyDescent="0.35">
      <c r="A80" t="s">
        <v>193</v>
      </c>
      <c r="B80" t="e">
        <f>3/E66</f>
        <v>#DIV/0!</v>
      </c>
      <c r="E80" t="s">
        <v>193</v>
      </c>
      <c r="F80">
        <f>F66/5</f>
        <v>0</v>
      </c>
      <c r="I80" t="s">
        <v>193</v>
      </c>
      <c r="J80" t="e">
        <f>3/G66</f>
        <v>#DIV/0!</v>
      </c>
    </row>
    <row r="81" spans="1:10" x14ac:dyDescent="0.35">
      <c r="A81" t="s">
        <v>194</v>
      </c>
      <c r="B81" t="e">
        <f t="shared" ref="B81:B82" si="3">3/E67</f>
        <v>#DIV/0!</v>
      </c>
      <c r="E81" t="s">
        <v>194</v>
      </c>
      <c r="F81">
        <f t="shared" ref="F81:F82" si="4">F67/5</f>
        <v>0</v>
      </c>
      <c r="I81" t="s">
        <v>194</v>
      </c>
      <c r="J81" t="e">
        <f t="shared" ref="J81:J82" si="5">3/G67</f>
        <v>#DIV/0!</v>
      </c>
    </row>
    <row r="82" spans="1:10" x14ac:dyDescent="0.35">
      <c r="A82" t="s">
        <v>195</v>
      </c>
      <c r="B82" t="e">
        <f t="shared" si="3"/>
        <v>#DIV/0!</v>
      </c>
      <c r="E82" t="s">
        <v>195</v>
      </c>
      <c r="F82">
        <f t="shared" si="4"/>
        <v>0</v>
      </c>
      <c r="I82" t="s">
        <v>195</v>
      </c>
      <c r="J82" t="e">
        <f t="shared" si="5"/>
        <v>#DIV/0!</v>
      </c>
    </row>
    <row r="85" spans="1:10" x14ac:dyDescent="0.35">
      <c r="A85" t="s">
        <v>219</v>
      </c>
      <c r="E85" t="s">
        <v>220</v>
      </c>
      <c r="I85" t="s">
        <v>221</v>
      </c>
    </row>
    <row r="86" spans="1:10" x14ac:dyDescent="0.35">
      <c r="A86" t="s">
        <v>193</v>
      </c>
      <c r="B86">
        <f>H66/4</f>
        <v>0</v>
      </c>
      <c r="E86" t="s">
        <v>193</v>
      </c>
      <c r="F86" s="19">
        <f>I66/3</f>
        <v>0</v>
      </c>
      <c r="I86" t="s">
        <v>193</v>
      </c>
      <c r="J86" s="19">
        <f>J66/3</f>
        <v>0</v>
      </c>
    </row>
    <row r="87" spans="1:10" x14ac:dyDescent="0.35">
      <c r="A87" t="s">
        <v>194</v>
      </c>
      <c r="B87">
        <f t="shared" ref="B87:B88" si="6">H67/4</f>
        <v>0</v>
      </c>
      <c r="E87" t="s">
        <v>194</v>
      </c>
      <c r="F87" s="19">
        <f>I67/3</f>
        <v>0</v>
      </c>
      <c r="I87" t="s">
        <v>194</v>
      </c>
      <c r="J87" s="19">
        <f>J67/3</f>
        <v>0</v>
      </c>
    </row>
    <row r="88" spans="1:10" x14ac:dyDescent="0.35">
      <c r="A88" t="s">
        <v>195</v>
      </c>
      <c r="B88">
        <f t="shared" si="6"/>
        <v>0</v>
      </c>
      <c r="E88" t="s">
        <v>195</v>
      </c>
      <c r="F88">
        <f t="shared" ref="F88" si="7">I68/3</f>
        <v>0</v>
      </c>
      <c r="I88" t="s">
        <v>195</v>
      </c>
      <c r="J88">
        <f t="shared" ref="J88" si="8">J68/3</f>
        <v>0</v>
      </c>
    </row>
    <row r="91" spans="1:10" x14ac:dyDescent="0.35">
      <c r="E91" t="s">
        <v>222</v>
      </c>
    </row>
    <row r="92" spans="1:10" x14ac:dyDescent="0.35">
      <c r="E92" t="s">
        <v>193</v>
      </c>
      <c r="F92" s="19">
        <f>K66/3</f>
        <v>0</v>
      </c>
    </row>
    <row r="93" spans="1:10" x14ac:dyDescent="0.35">
      <c r="E93" t="s">
        <v>194</v>
      </c>
      <c r="F93" s="19">
        <f>K67/3</f>
        <v>0</v>
      </c>
    </row>
    <row r="94" spans="1:10" x14ac:dyDescent="0.35">
      <c r="E94" t="s">
        <v>195</v>
      </c>
      <c r="F94">
        <f t="shared" ref="F94" si="9">K68/3</f>
        <v>0</v>
      </c>
    </row>
    <row r="98" spans="1:13" x14ac:dyDescent="0.35">
      <c r="A98" t="s">
        <v>223</v>
      </c>
    </row>
    <row r="100" spans="1:13" x14ac:dyDescent="0.35">
      <c r="A100" s="9" t="s">
        <v>208</v>
      </c>
      <c r="B100" s="9" t="s">
        <v>19</v>
      </c>
      <c r="C100" s="9" t="s">
        <v>20</v>
      </c>
      <c r="D100" s="9" t="s">
        <v>21</v>
      </c>
      <c r="E100" s="9" t="s">
        <v>22</v>
      </c>
      <c r="F100" s="9" t="s">
        <v>23</v>
      </c>
      <c r="G100" s="9" t="s">
        <v>24</v>
      </c>
      <c r="H100" s="9" t="s">
        <v>25</v>
      </c>
      <c r="I100" s="9" t="s">
        <v>26</v>
      </c>
      <c r="J100" s="9" t="s">
        <v>27</v>
      </c>
      <c r="K100" s="9" t="s">
        <v>28</v>
      </c>
    </row>
    <row r="101" spans="1:13" x14ac:dyDescent="0.35">
      <c r="A101" s="9" t="s">
        <v>193</v>
      </c>
      <c r="B101" s="9" t="e">
        <f>B74</f>
        <v>#DIV/0!</v>
      </c>
      <c r="C101" s="9">
        <f>F74</f>
        <v>0</v>
      </c>
      <c r="D101" s="9">
        <f>J74</f>
        <v>0</v>
      </c>
      <c r="E101" s="9" t="e">
        <f>B80</f>
        <v>#DIV/0!</v>
      </c>
      <c r="F101" s="9">
        <f>F80</f>
        <v>0</v>
      </c>
      <c r="G101" s="9" t="e">
        <f>J80</f>
        <v>#DIV/0!</v>
      </c>
      <c r="H101" s="9">
        <f>B86</f>
        <v>0</v>
      </c>
      <c r="I101" s="20">
        <f>F86</f>
        <v>0</v>
      </c>
      <c r="J101" s="20">
        <f>J86</f>
        <v>0</v>
      </c>
      <c r="K101" s="20">
        <f>F92</f>
        <v>0</v>
      </c>
    </row>
    <row r="102" spans="1:13" x14ac:dyDescent="0.35">
      <c r="A102" s="9" t="s">
        <v>194</v>
      </c>
      <c r="B102" s="9" t="e">
        <f t="shared" ref="B102:B103" si="10">B75</f>
        <v>#DIV/0!</v>
      </c>
      <c r="C102" s="9">
        <f t="shared" ref="C102:C103" si="11">F75</f>
        <v>0</v>
      </c>
      <c r="D102" s="9">
        <f t="shared" ref="D102:D103" si="12">J75</f>
        <v>0</v>
      </c>
      <c r="E102" s="9" t="e">
        <f t="shared" ref="E102:E103" si="13">B81</f>
        <v>#DIV/0!</v>
      </c>
      <c r="F102" s="9">
        <f t="shared" ref="F102:F103" si="14">F81</f>
        <v>0</v>
      </c>
      <c r="G102" s="9" t="e">
        <f t="shared" ref="G102:G103" si="15">J81</f>
        <v>#DIV/0!</v>
      </c>
      <c r="H102" s="9">
        <f t="shared" ref="H102:H103" si="16">B87</f>
        <v>0</v>
      </c>
      <c r="I102" s="20">
        <f>F87</f>
        <v>0</v>
      </c>
      <c r="J102" s="20">
        <f>J87</f>
        <v>0</v>
      </c>
      <c r="K102" s="20">
        <f>F93</f>
        <v>0</v>
      </c>
    </row>
    <row r="103" spans="1:13" x14ac:dyDescent="0.35">
      <c r="A103" s="9" t="s">
        <v>195</v>
      </c>
      <c r="B103" s="9" t="e">
        <f t="shared" si="10"/>
        <v>#DIV/0!</v>
      </c>
      <c r="C103" s="9">
        <f t="shared" si="11"/>
        <v>0</v>
      </c>
      <c r="D103" s="9">
        <f t="shared" si="12"/>
        <v>0</v>
      </c>
      <c r="E103" s="9" t="e">
        <f t="shared" si="13"/>
        <v>#DIV/0!</v>
      </c>
      <c r="F103" s="9">
        <f t="shared" si="14"/>
        <v>0</v>
      </c>
      <c r="G103" s="9" t="e">
        <f t="shared" si="15"/>
        <v>#DIV/0!</v>
      </c>
      <c r="H103" s="9">
        <f t="shared" si="16"/>
        <v>0</v>
      </c>
      <c r="I103" s="9">
        <f t="shared" ref="I103" si="17">F88</f>
        <v>0</v>
      </c>
      <c r="J103" s="9">
        <f t="shared" ref="J103" si="18">J88</f>
        <v>0</v>
      </c>
      <c r="K103" s="9">
        <f t="shared" ref="K103" si="19">F94</f>
        <v>0</v>
      </c>
    </row>
    <row r="107" spans="1:13" x14ac:dyDescent="0.35">
      <c r="A107" t="s">
        <v>224</v>
      </c>
    </row>
    <row r="109" spans="1:13" x14ac:dyDescent="0.35">
      <c r="A109" s="9" t="s">
        <v>208</v>
      </c>
      <c r="B109" s="9" t="s">
        <v>19</v>
      </c>
      <c r="C109" s="9" t="s">
        <v>20</v>
      </c>
      <c r="D109" s="9" t="s">
        <v>21</v>
      </c>
      <c r="E109" s="9" t="s">
        <v>22</v>
      </c>
      <c r="F109" s="9" t="s">
        <v>23</v>
      </c>
      <c r="G109" s="9" t="s">
        <v>24</v>
      </c>
      <c r="H109" s="9" t="s">
        <v>25</v>
      </c>
      <c r="I109" s="9" t="s">
        <v>26</v>
      </c>
      <c r="J109" s="9" t="s">
        <v>27</v>
      </c>
      <c r="K109" s="9" t="s">
        <v>28</v>
      </c>
      <c r="L109" s="9" t="s">
        <v>225</v>
      </c>
      <c r="M109" s="9" t="s">
        <v>226</v>
      </c>
    </row>
    <row r="110" spans="1:13" x14ac:dyDescent="0.35">
      <c r="A110" s="9" t="s">
        <v>193</v>
      </c>
      <c r="B110" s="9" t="e">
        <f>B101*C18</f>
        <v>#DIV/0!</v>
      </c>
      <c r="C110" s="9">
        <f>C101*C19</f>
        <v>0</v>
      </c>
      <c r="D110" s="9">
        <f>D101*C20</f>
        <v>0</v>
      </c>
      <c r="E110" s="9" t="e">
        <f>E101*C21</f>
        <v>#DIV/0!</v>
      </c>
      <c r="F110" s="9">
        <f>F101*C22</f>
        <v>0</v>
      </c>
      <c r="G110" s="9" t="e">
        <f>G101*C23</f>
        <v>#DIV/0!</v>
      </c>
      <c r="H110" s="9">
        <f>H101*C24</f>
        <v>0</v>
      </c>
      <c r="I110" s="9">
        <f>I101*C25</f>
        <v>0</v>
      </c>
      <c r="J110" s="20">
        <f>J101*C26</f>
        <v>0</v>
      </c>
      <c r="K110" s="20">
        <f>K101*C27</f>
        <v>0</v>
      </c>
      <c r="L110" s="20" t="e">
        <f>SUM(B110:K110)</f>
        <v>#DIV/0!</v>
      </c>
      <c r="M110" s="9" t="e">
        <f>RANK(L110, $L$110:$L$112, 0)</f>
        <v>#DIV/0!</v>
      </c>
    </row>
    <row r="111" spans="1:13" x14ac:dyDescent="0.35">
      <c r="A111" s="9" t="s">
        <v>194</v>
      </c>
      <c r="B111" s="9" t="e">
        <f>B102*C18</f>
        <v>#DIV/0!</v>
      </c>
      <c r="C111" s="9">
        <f>C102*C19</f>
        <v>0</v>
      </c>
      <c r="D111" s="9">
        <f>D102*C20</f>
        <v>0</v>
      </c>
      <c r="E111" s="9" t="e">
        <f>E102*C21</f>
        <v>#DIV/0!</v>
      </c>
      <c r="F111" s="9">
        <f>F102*C22</f>
        <v>0</v>
      </c>
      <c r="G111" s="9" t="e">
        <f>G102*C23</f>
        <v>#DIV/0!</v>
      </c>
      <c r="H111" s="9">
        <f>H102*C24</f>
        <v>0</v>
      </c>
      <c r="I111" s="9">
        <f>I102*C25</f>
        <v>0</v>
      </c>
      <c r="J111" s="20">
        <f>J102*C26</f>
        <v>0</v>
      </c>
      <c r="K111" s="20">
        <f>K102*C27</f>
        <v>0</v>
      </c>
      <c r="L111" s="20" t="e">
        <f>SUM(B111:K111)</f>
        <v>#DIV/0!</v>
      </c>
      <c r="M111" s="9" t="e">
        <f t="shared" ref="M111:M112" si="20">RANK(L111, $L$110:$L$112, 0)</f>
        <v>#DIV/0!</v>
      </c>
    </row>
    <row r="112" spans="1:13" x14ac:dyDescent="0.35">
      <c r="A112" s="9" t="s">
        <v>195</v>
      </c>
      <c r="B112" s="9" t="e">
        <f>B103*C18</f>
        <v>#DIV/0!</v>
      </c>
      <c r="C112" s="9">
        <f>C103*C19</f>
        <v>0</v>
      </c>
      <c r="D112" s="9">
        <f>D103*C20</f>
        <v>0</v>
      </c>
      <c r="E112" s="9" t="e">
        <f>E103*C21</f>
        <v>#DIV/0!</v>
      </c>
      <c r="F112" s="9">
        <f>F103*C22</f>
        <v>0</v>
      </c>
      <c r="G112" s="9" t="e">
        <f>G103*C23</f>
        <v>#DIV/0!</v>
      </c>
      <c r="H112" s="9">
        <f>H103*C24</f>
        <v>0</v>
      </c>
      <c r="I112" s="9">
        <f>I103*C25</f>
        <v>0</v>
      </c>
      <c r="J112" s="9">
        <f>J103*C26</f>
        <v>0</v>
      </c>
      <c r="K112" s="9">
        <f>K103*C27</f>
        <v>0</v>
      </c>
      <c r="L112" s="9" t="e">
        <f>SUM(B112:K112)</f>
        <v>#DIV/0!</v>
      </c>
      <c r="M112" s="9" t="e">
        <f t="shared" si="20"/>
        <v>#DIV/0!</v>
      </c>
    </row>
  </sheetData>
  <conditionalFormatting sqref="K49:K51">
    <cfRule type="duplicateValues" dxfId="1" priority="2"/>
  </conditionalFormatting>
  <conditionalFormatting sqref="K57:K58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EACA8-BD40-42FD-A8BA-50E7DE06EFB6}">
  <dimension ref="A1:K7"/>
  <sheetViews>
    <sheetView zoomScale="85" workbookViewId="0">
      <selection activeCell="G11" sqref="G11"/>
    </sheetView>
  </sheetViews>
  <sheetFormatPr defaultRowHeight="14.5" x14ac:dyDescent="0.35"/>
  <cols>
    <col min="3" max="3" width="15.54296875" customWidth="1"/>
    <col min="4" max="4" width="17.90625" customWidth="1"/>
    <col min="5" max="5" width="23.90625" customWidth="1"/>
    <col min="7" max="7" width="19.1796875" customWidth="1"/>
    <col min="8" max="8" width="17.453125" customWidth="1"/>
    <col min="9" max="9" width="13.90625" customWidth="1"/>
    <col min="10" max="10" width="21.1796875" customWidth="1"/>
    <col min="11" max="11" width="26.1796875" customWidth="1"/>
  </cols>
  <sheetData>
    <row r="1" spans="1:11" ht="43.5" x14ac:dyDescent="0.35">
      <c r="A1" s="16" t="s">
        <v>77</v>
      </c>
      <c r="B1" s="16" t="s">
        <v>78</v>
      </c>
      <c r="C1" s="16" t="s">
        <v>144</v>
      </c>
      <c r="D1" s="16" t="s">
        <v>1</v>
      </c>
      <c r="E1" s="16" t="s">
        <v>85</v>
      </c>
      <c r="F1" s="16" t="s">
        <v>235</v>
      </c>
      <c r="G1" s="16" t="s">
        <v>4</v>
      </c>
      <c r="H1" s="16" t="s">
        <v>5</v>
      </c>
      <c r="I1" s="16" t="s">
        <v>42</v>
      </c>
      <c r="J1" s="16" t="s">
        <v>231</v>
      </c>
      <c r="K1" s="16" t="s">
        <v>146</v>
      </c>
    </row>
    <row r="2" spans="1:11" ht="58" x14ac:dyDescent="0.35">
      <c r="A2" s="21" t="s">
        <v>193</v>
      </c>
      <c r="B2" s="7" t="s">
        <v>236</v>
      </c>
      <c r="C2" s="7" t="s">
        <v>237</v>
      </c>
      <c r="D2" s="7" t="s">
        <v>238</v>
      </c>
      <c r="E2" s="7" t="s">
        <v>239</v>
      </c>
      <c r="F2" s="7" t="s">
        <v>100</v>
      </c>
      <c r="G2" s="7" t="s">
        <v>58</v>
      </c>
      <c r="H2" s="7" t="s">
        <v>240</v>
      </c>
      <c r="I2" s="7" t="s">
        <v>206</v>
      </c>
      <c r="J2" s="7" t="s">
        <v>241</v>
      </c>
      <c r="K2" s="7" t="s">
        <v>242</v>
      </c>
    </row>
    <row r="3" spans="1:11" ht="58" x14ac:dyDescent="0.35">
      <c r="A3" s="21" t="s">
        <v>194</v>
      </c>
      <c r="B3" s="7" t="s">
        <v>243</v>
      </c>
      <c r="C3" s="7" t="s">
        <v>237</v>
      </c>
      <c r="D3" s="7" t="s">
        <v>238</v>
      </c>
      <c r="E3" s="7" t="s">
        <v>244</v>
      </c>
      <c r="F3" s="7" t="s">
        <v>100</v>
      </c>
      <c r="G3" s="7" t="s">
        <v>245</v>
      </c>
      <c r="H3" s="7" t="s">
        <v>246</v>
      </c>
      <c r="I3" s="7" t="s">
        <v>247</v>
      </c>
      <c r="J3" s="7" t="s">
        <v>241</v>
      </c>
      <c r="K3" s="7" t="s">
        <v>242</v>
      </c>
    </row>
    <row r="4" spans="1:11" ht="58" x14ac:dyDescent="0.35">
      <c r="A4" s="21" t="s">
        <v>195</v>
      </c>
      <c r="B4" s="7" t="s">
        <v>248</v>
      </c>
      <c r="C4" s="7" t="s">
        <v>249</v>
      </c>
      <c r="D4" s="7" t="s">
        <v>238</v>
      </c>
      <c r="E4" s="7" t="s">
        <v>250</v>
      </c>
      <c r="F4" s="7" t="s">
        <v>100</v>
      </c>
      <c r="G4" s="7" t="s">
        <v>245</v>
      </c>
      <c r="H4" s="7" t="s">
        <v>251</v>
      </c>
      <c r="I4" s="7" t="s">
        <v>247</v>
      </c>
      <c r="J4" s="7" t="s">
        <v>241</v>
      </c>
      <c r="K4" s="7" t="s">
        <v>252</v>
      </c>
    </row>
    <row r="5" spans="1:11" ht="43.5" x14ac:dyDescent="0.35">
      <c r="A5" s="21" t="s">
        <v>253</v>
      </c>
      <c r="B5" s="7" t="s">
        <v>254</v>
      </c>
      <c r="C5" s="7" t="s">
        <v>249</v>
      </c>
      <c r="D5" s="7" t="s">
        <v>255</v>
      </c>
      <c r="E5" s="7" t="s">
        <v>256</v>
      </c>
      <c r="F5" s="7" t="s">
        <v>100</v>
      </c>
      <c r="G5" s="7" t="s">
        <v>257</v>
      </c>
      <c r="H5" s="7" t="s">
        <v>251</v>
      </c>
      <c r="I5" s="7" t="s">
        <v>247</v>
      </c>
      <c r="J5" s="7" t="s">
        <v>258</v>
      </c>
      <c r="K5" s="7" t="s">
        <v>242</v>
      </c>
    </row>
    <row r="6" spans="1:11" ht="43.5" x14ac:dyDescent="0.35">
      <c r="A6" s="21" t="s">
        <v>259</v>
      </c>
      <c r="B6" s="7" t="s">
        <v>260</v>
      </c>
      <c r="C6" s="7" t="s">
        <v>237</v>
      </c>
      <c r="D6" s="7" t="s">
        <v>261</v>
      </c>
      <c r="E6" s="7" t="s">
        <v>262</v>
      </c>
      <c r="F6" s="7" t="s">
        <v>100</v>
      </c>
      <c r="G6" s="7" t="s">
        <v>58</v>
      </c>
      <c r="H6" s="7" t="s">
        <v>246</v>
      </c>
      <c r="I6" s="7" t="s">
        <v>247</v>
      </c>
      <c r="J6" s="7" t="s">
        <v>241</v>
      </c>
      <c r="K6" s="7" t="s">
        <v>263</v>
      </c>
    </row>
    <row r="7" spans="1:11" ht="43.5" x14ac:dyDescent="0.35">
      <c r="A7" s="21" t="s">
        <v>264</v>
      </c>
      <c r="B7" s="7" t="s">
        <v>265</v>
      </c>
      <c r="C7" s="7" t="s">
        <v>237</v>
      </c>
      <c r="D7" s="7" t="s">
        <v>261</v>
      </c>
      <c r="E7" s="7" t="s">
        <v>256</v>
      </c>
      <c r="F7" s="7" t="s">
        <v>100</v>
      </c>
      <c r="G7" s="7" t="s">
        <v>245</v>
      </c>
      <c r="H7" s="7" t="s">
        <v>246</v>
      </c>
      <c r="I7" s="7" t="s">
        <v>247</v>
      </c>
      <c r="J7" s="7" t="s">
        <v>241</v>
      </c>
      <c r="K7" s="7" t="s">
        <v>252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27139-216E-4DDF-8D29-4F55B338C4CC}">
  <dimension ref="A1:C9"/>
  <sheetViews>
    <sheetView workbookViewId="0">
      <selection activeCell="B4" sqref="B4"/>
    </sheetView>
  </sheetViews>
  <sheetFormatPr defaultRowHeight="14.5" x14ac:dyDescent="0.35"/>
  <cols>
    <col min="1" max="1" width="20.08984375" customWidth="1"/>
    <col min="2" max="2" width="21.1796875" customWidth="1"/>
    <col min="3" max="3" width="22.1796875" customWidth="1"/>
  </cols>
  <sheetData>
    <row r="1" spans="1:3" ht="29" x14ac:dyDescent="0.35">
      <c r="A1" s="16" t="s">
        <v>315</v>
      </c>
      <c r="B1" s="9" t="s">
        <v>325</v>
      </c>
      <c r="C1" s="27" t="s">
        <v>316</v>
      </c>
    </row>
    <row r="2" spans="1:3" x14ac:dyDescent="0.35">
      <c r="A2" s="7" t="s">
        <v>317</v>
      </c>
      <c r="B2" t="s">
        <v>326</v>
      </c>
      <c r="C2" s="26">
        <v>92</v>
      </c>
    </row>
    <row r="3" spans="1:3" x14ac:dyDescent="0.35">
      <c r="A3" s="7" t="s">
        <v>318</v>
      </c>
      <c r="B3" t="s">
        <v>327</v>
      </c>
      <c r="C3" s="26">
        <v>55</v>
      </c>
    </row>
    <row r="4" spans="1:3" ht="43.5" x14ac:dyDescent="0.35">
      <c r="A4" s="7" t="s">
        <v>319</v>
      </c>
      <c r="C4" s="26">
        <v>92</v>
      </c>
    </row>
    <row r="5" spans="1:3" ht="29" x14ac:dyDescent="0.35">
      <c r="A5" s="7" t="s">
        <v>320</v>
      </c>
      <c r="C5" s="26">
        <v>54</v>
      </c>
    </row>
    <row r="6" spans="1:3" ht="29" x14ac:dyDescent="0.35">
      <c r="A6" s="7" t="s">
        <v>321</v>
      </c>
      <c r="C6" s="26">
        <v>92</v>
      </c>
    </row>
    <row r="7" spans="1:3" x14ac:dyDescent="0.35">
      <c r="A7" s="7" t="s">
        <v>322</v>
      </c>
      <c r="C7" s="26">
        <v>92</v>
      </c>
    </row>
    <row r="8" spans="1:3" ht="29" x14ac:dyDescent="0.35">
      <c r="A8" s="7" t="s">
        <v>323</v>
      </c>
      <c r="C8" s="28">
        <v>95</v>
      </c>
    </row>
    <row r="9" spans="1:3" x14ac:dyDescent="0.35">
      <c r="A9" s="7" t="s">
        <v>324</v>
      </c>
      <c r="C9" s="28"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Kost</vt:lpstr>
      <vt:lpstr>Ressponden</vt:lpstr>
      <vt:lpstr>Bobot Kriteria</vt:lpstr>
      <vt:lpstr>Studi Kasus for me</vt:lpstr>
      <vt:lpstr>Studi Kasus for jurnal</vt:lpstr>
      <vt:lpstr>Hasil Bab 4</vt:lpstr>
      <vt:lpstr>tumbal</vt:lpstr>
      <vt:lpstr>Metode 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REYHAN RAFAIDHIL</dc:creator>
  <cp:lastModifiedBy>Lenovo Legion Pro 5</cp:lastModifiedBy>
  <dcterms:created xsi:type="dcterms:W3CDTF">2025-11-07T05:05:55Z</dcterms:created>
  <dcterms:modified xsi:type="dcterms:W3CDTF">2025-12-08T02:26:54Z</dcterms:modified>
</cp:coreProperties>
</file>