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DIPA\Semester 7\Skripsi\Format\"/>
    </mc:Choice>
  </mc:AlternateContent>
  <xr:revisionPtr revIDLastSave="0" documentId="13_ncr:1_{54DFACD0-E13D-4F26-AADE-849989DC4311}" xr6:coauthVersionLast="47" xr6:coauthVersionMax="47" xr10:uidLastSave="{00000000-0000-0000-0000-000000000000}"/>
  <bookViews>
    <workbookView xWindow="-108" yWindow="-108" windowWidth="23256" windowHeight="12456" activeTab="3" xr2:uid="{901D0503-6946-40CA-8D36-37B156763246}"/>
  </bookViews>
  <sheets>
    <sheet name="Kost" sheetId="3" r:id="rId1"/>
    <sheet name="Ressponden" sheetId="1" r:id="rId2"/>
    <sheet name="Bobot Kriteria" sheetId="2" r:id="rId3"/>
    <sheet name="Studi Kasus" sheetId="4" r:id="rId4"/>
    <sheet name="Hasil Bab 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2" i="4" l="1"/>
  <c r="J112" i="4"/>
  <c r="I112" i="4"/>
  <c r="H112" i="4"/>
  <c r="G112" i="4"/>
  <c r="F112" i="4"/>
  <c r="E112" i="4"/>
  <c r="D112" i="4"/>
  <c r="C112" i="4"/>
  <c r="B112" i="4"/>
  <c r="I111" i="4"/>
  <c r="H111" i="4"/>
  <c r="G111" i="4"/>
  <c r="F111" i="4"/>
  <c r="E111" i="4"/>
  <c r="D111" i="4"/>
  <c r="C111" i="4"/>
  <c r="B111" i="4"/>
  <c r="K110" i="4"/>
  <c r="J110" i="4"/>
  <c r="I110" i="4"/>
  <c r="H110" i="4"/>
  <c r="G110" i="4"/>
  <c r="F110" i="4"/>
  <c r="E110" i="4"/>
  <c r="D110" i="4"/>
  <c r="C110" i="4"/>
  <c r="B110" i="4"/>
  <c r="F88" i="4"/>
  <c r="B88" i="4"/>
  <c r="J82" i="4"/>
  <c r="F82" i="4"/>
  <c r="B82" i="4"/>
  <c r="J76" i="4"/>
  <c r="J87" i="4"/>
  <c r="F87" i="4"/>
  <c r="B87" i="4"/>
  <c r="J81" i="4"/>
  <c r="F81" i="4"/>
  <c r="B75" i="4"/>
  <c r="F75" i="4"/>
  <c r="J75" i="4"/>
  <c r="B81" i="4"/>
  <c r="B101" i="4"/>
  <c r="D103" i="6"/>
  <c r="D112" i="6" s="1"/>
  <c r="C103" i="6"/>
  <c r="C112" i="6" s="1"/>
  <c r="B103" i="6"/>
  <c r="B112" i="6" s="1"/>
  <c r="K102" i="6"/>
  <c r="K111" i="6" s="1"/>
  <c r="J102" i="6"/>
  <c r="J111" i="6" s="1"/>
  <c r="F94" i="6"/>
  <c r="K103" i="6" s="1"/>
  <c r="K112" i="6" s="1"/>
  <c r="F93" i="6"/>
  <c r="F92" i="6"/>
  <c r="K101" i="6" s="1"/>
  <c r="K110" i="6" s="1"/>
  <c r="J88" i="6"/>
  <c r="J103" i="6" s="1"/>
  <c r="J112" i="6" s="1"/>
  <c r="F88" i="6"/>
  <c r="I103" i="6" s="1"/>
  <c r="I112" i="6" s="1"/>
  <c r="B88" i="6"/>
  <c r="H103" i="6" s="1"/>
  <c r="H112" i="6" s="1"/>
  <c r="J87" i="6"/>
  <c r="F87" i="6"/>
  <c r="I102" i="6" s="1"/>
  <c r="I111" i="6" s="1"/>
  <c r="B87" i="6"/>
  <c r="H102" i="6" s="1"/>
  <c r="H111" i="6" s="1"/>
  <c r="J86" i="6"/>
  <c r="J101" i="6" s="1"/>
  <c r="J110" i="6" s="1"/>
  <c r="F86" i="6"/>
  <c r="I101" i="6" s="1"/>
  <c r="I110" i="6" s="1"/>
  <c r="B86" i="6"/>
  <c r="H101" i="6" s="1"/>
  <c r="H110" i="6" s="1"/>
  <c r="J82" i="6"/>
  <c r="G103" i="6" s="1"/>
  <c r="G112" i="6" s="1"/>
  <c r="F82" i="6"/>
  <c r="F103" i="6" s="1"/>
  <c r="F112" i="6" s="1"/>
  <c r="B82" i="6"/>
  <c r="E103" i="6" s="1"/>
  <c r="E112" i="6" s="1"/>
  <c r="J81" i="6"/>
  <c r="G102" i="6" s="1"/>
  <c r="G111" i="6" s="1"/>
  <c r="F81" i="6"/>
  <c r="F102" i="6" s="1"/>
  <c r="F111" i="6" s="1"/>
  <c r="B81" i="6"/>
  <c r="E102" i="6" s="1"/>
  <c r="E111" i="6" s="1"/>
  <c r="J80" i="6"/>
  <c r="G101" i="6" s="1"/>
  <c r="G110" i="6" s="1"/>
  <c r="F80" i="6"/>
  <c r="F101" i="6" s="1"/>
  <c r="F110" i="6" s="1"/>
  <c r="B80" i="6"/>
  <c r="E101" i="6" s="1"/>
  <c r="E110" i="6" s="1"/>
  <c r="J76" i="6"/>
  <c r="F76" i="6"/>
  <c r="B76" i="6"/>
  <c r="J75" i="6"/>
  <c r="D102" i="6" s="1"/>
  <c r="D111" i="6" s="1"/>
  <c r="F75" i="6"/>
  <c r="C102" i="6" s="1"/>
  <c r="C111" i="6" s="1"/>
  <c r="B75" i="6"/>
  <c r="B102" i="6" s="1"/>
  <c r="B111" i="6" s="1"/>
  <c r="J74" i="6"/>
  <c r="D101" i="6" s="1"/>
  <c r="D110" i="6" s="1"/>
  <c r="F74" i="6"/>
  <c r="C101" i="6" s="1"/>
  <c r="C110" i="6" s="1"/>
  <c r="B74" i="6"/>
  <c r="B101" i="6" s="1"/>
  <c r="B110" i="6" s="1"/>
  <c r="C28" i="6"/>
  <c r="C27" i="6"/>
  <c r="C26" i="6"/>
  <c r="C25" i="6"/>
  <c r="C24" i="6"/>
  <c r="C23" i="6"/>
  <c r="C22" i="6"/>
  <c r="C21" i="6"/>
  <c r="C20" i="6"/>
  <c r="C19" i="6"/>
  <c r="C18" i="6"/>
  <c r="K102" i="4"/>
  <c r="K111" i="4" s="1"/>
  <c r="J102" i="4"/>
  <c r="J111" i="4" s="1"/>
  <c r="F93" i="4"/>
  <c r="I102" i="4"/>
  <c r="I101" i="4"/>
  <c r="H102" i="4"/>
  <c r="H103" i="4"/>
  <c r="E101" i="4"/>
  <c r="D102" i="4"/>
  <c r="D103" i="4"/>
  <c r="F94" i="4"/>
  <c r="K103" i="4" s="1"/>
  <c r="F92" i="4"/>
  <c r="K101" i="4" s="1"/>
  <c r="J88" i="4"/>
  <c r="J103" i="4" s="1"/>
  <c r="J86" i="4"/>
  <c r="J101" i="4" s="1"/>
  <c r="I103" i="4"/>
  <c r="F86" i="4"/>
  <c r="B86" i="4"/>
  <c r="H101" i="4" s="1"/>
  <c r="G102" i="4"/>
  <c r="G103" i="4"/>
  <c r="J80" i="4"/>
  <c r="G101" i="4" s="1"/>
  <c r="F102" i="4"/>
  <c r="F103" i="4"/>
  <c r="F80" i="4"/>
  <c r="F101" i="4" s="1"/>
  <c r="E102" i="4"/>
  <c r="E103" i="4"/>
  <c r="B80" i="4"/>
  <c r="J74" i="4"/>
  <c r="D101" i="4" s="1"/>
  <c r="C102" i="4"/>
  <c r="F76" i="4"/>
  <c r="C103" i="4" s="1"/>
  <c r="F74" i="4"/>
  <c r="C101" i="4" s="1"/>
  <c r="B102" i="4"/>
  <c r="B76" i="4"/>
  <c r="B103" i="4" s="1"/>
  <c r="B74" i="4"/>
  <c r="C28" i="4"/>
  <c r="C27" i="4"/>
  <c r="C26" i="4"/>
  <c r="C25" i="4"/>
  <c r="C24" i="4"/>
  <c r="C23" i="4"/>
  <c r="C22" i="4"/>
  <c r="C21" i="4"/>
  <c r="C20" i="4"/>
  <c r="C19" i="4"/>
  <c r="C18" i="4"/>
  <c r="B3" i="2"/>
  <c r="B4" i="2"/>
  <c r="B5" i="2"/>
  <c r="B6" i="2"/>
  <c r="B7" i="2"/>
  <c r="B8" i="2"/>
  <c r="B9" i="2"/>
  <c r="B10" i="2"/>
  <c r="B11" i="2"/>
  <c r="B12" i="2"/>
  <c r="B2" i="2"/>
  <c r="B12" i="1"/>
  <c r="B8" i="1"/>
  <c r="B3" i="1"/>
  <c r="B11" i="1"/>
  <c r="B10" i="1"/>
  <c r="B9" i="1"/>
  <c r="B7" i="1"/>
  <c r="B6" i="1"/>
  <c r="B5" i="1"/>
  <c r="B4" i="1"/>
  <c r="B2" i="1"/>
  <c r="N25" i="1"/>
  <c r="K25" i="1"/>
  <c r="H25" i="1"/>
  <c r="E25" i="1"/>
  <c r="B25" i="1"/>
  <c r="L110" i="4" l="1"/>
  <c r="L112" i="4"/>
  <c r="L111" i="4"/>
  <c r="L110" i="6"/>
  <c r="L112" i="6"/>
  <c r="L111" i="6"/>
  <c r="M111" i="6" s="1"/>
  <c r="M111" i="4" l="1"/>
  <c r="M112" i="4"/>
  <c r="M110" i="4"/>
  <c r="M112" i="6"/>
  <c r="M110" i="6"/>
</calcChain>
</file>

<file path=xl/sharedStrings.xml><?xml version="1.0" encoding="utf-8"?>
<sst xmlns="http://schemas.openxmlformats.org/spreadsheetml/2006/main" count="958" uniqueCount="229">
  <si>
    <t xml:space="preserve">Biaya </t>
  </si>
  <si>
    <t>Fasilitas</t>
  </si>
  <si>
    <t>Luas Kamar</t>
  </si>
  <si>
    <t>Jarak</t>
  </si>
  <si>
    <t>Keamanan</t>
  </si>
  <si>
    <t>Batas Jam Malam</t>
  </si>
  <si>
    <t>linkungan pendukung</t>
  </si>
  <si>
    <t>Jenis air</t>
  </si>
  <si>
    <t>jenis listrik</t>
  </si>
  <si>
    <t>jalur transaportasi</t>
  </si>
  <si>
    <t>Kruteria</t>
  </si>
  <si>
    <t>Bobot</t>
  </si>
  <si>
    <t>R1 = Abid</t>
  </si>
  <si>
    <t>R2 = Epo</t>
  </si>
  <si>
    <t>R3 = Irwan</t>
  </si>
  <si>
    <t>R4 = Reyhan</t>
  </si>
  <si>
    <t>no</t>
  </si>
  <si>
    <t>Sub Kriteria</t>
  </si>
  <si>
    <t>Simbol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</si>
  <si>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</si>
  <si>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</si>
  <si>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</si>
  <si>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</si>
  <si>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</si>
  <si>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</si>
  <si>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</si>
  <si>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</si>
  <si>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</si>
  <si>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</si>
  <si>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Nilai</t>
  </si>
  <si>
    <t>Biaya</t>
  </si>
  <si>
    <t>≤ Rp 700.000 – Rp 900.000</t>
  </si>
  <si>
    <t>&gt; Rp 900.000 – Rp 1.300.000</t>
  </si>
  <si>
    <t>&gt; Rp 1.300.000 – Rp 1.600.000</t>
  </si>
  <si>
    <t>&gt; Rp 1.600.000 – Rp 2.000.000</t>
  </si>
  <si>
    <t>&gt; Rp 2.000.000</t>
  </si>
  <si>
    <t>Kategori</t>
  </si>
  <si>
    <t>Cost</t>
  </si>
  <si>
    <t>Benefit</t>
  </si>
  <si>
    <t xml:space="preserve">Nilai </t>
  </si>
  <si>
    <t>Lingkungan Pendukung</t>
  </si>
  <si>
    <t>Jenis Air</t>
  </si>
  <si>
    <t>Jenis Listrik</t>
  </si>
  <si>
    <t>Jalur Transportasi</t>
  </si>
  <si>
    <t>Semakin Rendah semakin Baik</t>
  </si>
  <si>
    <t>Semakin Tinggi semakin Baik</t>
  </si>
  <si>
    <t>&gt;= 7M^2 - 10M^2</t>
  </si>
  <si>
    <t>&gt;= 10M^2 - 14M^2</t>
  </si>
  <si>
    <t>&gt;= 14M^2 - 18M^2</t>
  </si>
  <si>
    <t>&gt; 18M^2</t>
  </si>
  <si>
    <t>&lt; 7M^2</t>
  </si>
  <si>
    <t>&lt; 500 m</t>
  </si>
  <si>
    <t>&gt;= 500 m - 1km</t>
  </si>
  <si>
    <t>&gt;= 1km - 2km</t>
  </si>
  <si>
    <t>&gt;= 2km - 3km</t>
  </si>
  <si>
    <t>&gt; 3km</t>
  </si>
  <si>
    <t xml:space="preserve">Tidak ada </t>
  </si>
  <si>
    <t>Satpam</t>
  </si>
  <si>
    <t>CCTV</t>
  </si>
  <si>
    <t>21,00</t>
  </si>
  <si>
    <t>22,00</t>
  </si>
  <si>
    <t>23,00 - 24,00</t>
  </si>
  <si>
    <t>beri kunci</t>
  </si>
  <si>
    <t>24 jam terbuka</t>
  </si>
  <si>
    <t>Tempat Makan</t>
  </si>
  <si>
    <t>Atk</t>
  </si>
  <si>
    <t>Ibadah</t>
  </si>
  <si>
    <t>Pada Waktu Sewa</t>
  </si>
  <si>
    <t>Jalan Kaki</t>
  </si>
  <si>
    <t>Motor</t>
  </si>
  <si>
    <t>Mobil</t>
  </si>
  <si>
    <t>Angkutan Umum</t>
  </si>
  <si>
    <t>Kamar mandi</t>
  </si>
  <si>
    <t>Meja</t>
  </si>
  <si>
    <t>Wifi</t>
  </si>
  <si>
    <t>Tempat parkir</t>
  </si>
  <si>
    <t>Lemari</t>
  </si>
  <si>
    <t>No</t>
  </si>
  <si>
    <t>Nama Kost</t>
  </si>
  <si>
    <t>Nama Pemilik Kost</t>
  </si>
  <si>
    <t>Alamat Kost</t>
  </si>
  <si>
    <t>No tlpn Pemilik Kost</t>
  </si>
  <si>
    <t>Jenis Kost</t>
  </si>
  <si>
    <t>Harga</t>
  </si>
  <si>
    <t>Fasiltas</t>
  </si>
  <si>
    <t>Lokasi Pendukung</t>
  </si>
  <si>
    <t xml:space="preserve"> Batas Jam Malam</t>
  </si>
  <si>
    <t>Transportasi</t>
  </si>
  <si>
    <t>Pondok Harmony 1</t>
  </si>
  <si>
    <t>Pondok Harmony 2</t>
  </si>
  <si>
    <t>Pondok Harmony 3</t>
  </si>
  <si>
    <t>KF02</t>
  </si>
  <si>
    <t>Pondok Mama</t>
  </si>
  <si>
    <t>Pondiok Hikmah Jaya 2</t>
  </si>
  <si>
    <t>Olan</t>
  </si>
  <si>
    <t>Jalan Sahabat 3 no 15</t>
  </si>
  <si>
    <t>+6285926084686</t>
  </si>
  <si>
    <t>Rp 800.000</t>
  </si>
  <si>
    <t>Rp 1.200.000</t>
  </si>
  <si>
    <t>Rp 1.500.000</t>
  </si>
  <si>
    <t>3x4</t>
  </si>
  <si>
    <t>4x5</t>
  </si>
  <si>
    <t xml:space="preserve">Spring Bed
Kipas,
Lemari,
Meja,
Wc Dalam,
Dapur Dalam,      AC,                        Wifi         </t>
  </si>
  <si>
    <t>Spring Bed,
Kipas,
Lemari,
Meja,
Wc Dalam,
Dapur Dalam,    wifi</t>
  </si>
  <si>
    <t>Pembayaran Awal dan Sumur Bor</t>
  </si>
  <si>
    <t>Token</t>
  </si>
  <si>
    <t>CCTV sama Penjaga</t>
  </si>
  <si>
    <t>Smart Lock berbasis Kunci Pagar</t>
  </si>
  <si>
    <t xml:space="preserve">CCTV sama penjaga </t>
  </si>
  <si>
    <t>Angkutan Umum, Motor,                   Mobil</t>
  </si>
  <si>
    <t xml:space="preserve">Laundry,                    tempat makan, Masjid                   Fotocopy ATK,           Warung                  </t>
  </si>
  <si>
    <t>Kasman Sudirman</t>
  </si>
  <si>
    <t>Tidak di Publish</t>
  </si>
  <si>
    <t>Token dan Prabayar</t>
  </si>
  <si>
    <t>Umum</t>
  </si>
  <si>
    <t>Jalan Sahabat Raya no 27</t>
  </si>
  <si>
    <t>Spring Bed, Lemari,               Meja,          Exhaust,               AC</t>
  </si>
  <si>
    <t>Bebas</t>
  </si>
  <si>
    <t>Bebas,                        Kunci Pagar</t>
  </si>
  <si>
    <t>5 x4</t>
  </si>
  <si>
    <t>PLN dan Perbulan</t>
  </si>
  <si>
    <t>CCTV, Penjaga</t>
  </si>
  <si>
    <t>Tempat tidur,          Spring Bed,                Lemari</t>
  </si>
  <si>
    <t>8 Juta Per Tahun</t>
  </si>
  <si>
    <t>Mardawati</t>
  </si>
  <si>
    <t>22, 00 dan kunci</t>
  </si>
  <si>
    <t>Putri</t>
  </si>
  <si>
    <t>+6285323006053</t>
  </si>
  <si>
    <t>Jalan Sahabat 3 no 18</t>
  </si>
  <si>
    <t>Ibu Sakia sama Bapak Anto</t>
  </si>
  <si>
    <t xml:space="preserve">+6285399929977, +6282124347558 </t>
  </si>
  <si>
    <t>Rp. 1.500.000</t>
  </si>
  <si>
    <t>4x3</t>
  </si>
  <si>
    <t>Ac,                              Spring Bed,              Lemari,                    Wc Dalam,                  wifi,                            electric hoist</t>
  </si>
  <si>
    <t>Spring Bed</t>
  </si>
  <si>
    <t>Dapur</t>
  </si>
  <si>
    <t>Laundry</t>
  </si>
  <si>
    <t>warung</t>
  </si>
  <si>
    <t>Ac</t>
  </si>
  <si>
    <t>Kipas</t>
  </si>
  <si>
    <t>&lt;=2</t>
  </si>
  <si>
    <t>&gt;=10</t>
  </si>
  <si>
    <t>Smart Lock</t>
  </si>
  <si>
    <t>Satpam,               CCTV,         SmartLock</t>
  </si>
  <si>
    <t>Biaya (Rp/Bulan)</t>
  </si>
  <si>
    <t>Luas Kamar (m²)</t>
  </si>
  <si>
    <t>Jarak ke Kampus</t>
  </si>
  <si>
    <t>Kost Melati (A1)</t>
  </si>
  <si>
    <t>1.600.000</t>
  </si>
  <si>
    <t>2–3 km</t>
  </si>
  <si>
    <t>Satpam + CCTV + Smartlock</t>
  </si>
  <si>
    <t>PDAM bulanan</t>
  </si>
  <si>
    <t>Kost Mawar (A2)</t>
  </si>
  <si>
    <t>&lt;500 m</t>
  </si>
  <si>
    <t>Tutup 23:00–24:00</t>
  </si>
  <si>
    <t>Token air</t>
  </si>
  <si>
    <t>Jalan kaki</t>
  </si>
  <si>
    <t>Kost Anggrek (A3)</t>
  </si>
  <si>
    <t>1.200.000</t>
  </si>
  <si>
    <t>1–2 km</t>
  </si>
  <si>
    <t>Sistem sewa menyesuaikan</t>
  </si>
  <si>
    <t>4x3.5</t>
  </si>
  <si>
    <t>3x3</t>
  </si>
  <si>
    <t xml:space="preserve">CCTV </t>
  </si>
  <si>
    <t xml:space="preserve">Satpam </t>
  </si>
  <si>
    <t>warung, tempat ibadah, laundry, makan</t>
  </si>
  <si>
    <t>tempat makan, ibadah, atk</t>
  </si>
  <si>
    <t>tempat makan, ibadah, atk, laundry</t>
  </si>
  <si>
    <t>motor</t>
  </si>
  <si>
    <t>mobil</t>
  </si>
  <si>
    <t>Kode</t>
  </si>
  <si>
    <t>2. Menentukan Bobot dari Kriteria</t>
  </si>
  <si>
    <t>1. Menentukan Kriteria</t>
  </si>
  <si>
    <t>Ci</t>
  </si>
  <si>
    <t>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</si>
  <si>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</si>
  <si>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</si>
  <si>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</si>
  <si>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</si>
  <si>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</si>
  <si>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</si>
  <si>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</si>
  <si>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</si>
  <si>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</si>
  <si>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</si>
  <si>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3. Menentukan Atribut Kriteria</t>
  </si>
  <si>
    <t>Atribut</t>
  </si>
  <si>
    <t>4. Menentukan Crips</t>
  </si>
  <si>
    <t>Studi Kasus</t>
  </si>
  <si>
    <t>Spring bed, Kamar Mandi, lemari, Wi-Fi, dapur, meja, tempat parkir</t>
  </si>
  <si>
    <t>Spring bed,  Wi-Fi ,  lemari, tempat parkir, Kamar Mandi</t>
  </si>
  <si>
    <t>Kamar Mandi, lemari, Wi-Fi, tempat parkir, AC, Spring bed</t>
  </si>
  <si>
    <t>5. Menyusun data Alternatif</t>
  </si>
  <si>
    <t>A1</t>
  </si>
  <si>
    <t>A2</t>
  </si>
  <si>
    <t>A3</t>
  </si>
  <si>
    <t>Keterangan</t>
  </si>
  <si>
    <t>Kost Melati</t>
  </si>
  <si>
    <t>Kost Mawar</t>
  </si>
  <si>
    <t>Kost Anggrek</t>
  </si>
  <si>
    <t>&gt;= Rp 900.000 – Rp 1.300.000</t>
  </si>
  <si>
    <t>&gt;= Rp 1.300.000 – Rp 1.600.000</t>
  </si>
  <si>
    <t>&gt;= Rp 1.600.000 – Rp 2.000.000</t>
  </si>
  <si>
    <t>900.000</t>
  </si>
  <si>
    <t>Pascabayar/bulanan</t>
  </si>
  <si>
    <t>token</t>
  </si>
  <si>
    <t>Pascabayar</t>
  </si>
  <si>
    <t>6. Membuat Matriks Keputusan</t>
  </si>
  <si>
    <t>Ai</t>
  </si>
  <si>
    <t>&gt;=2 - 4</t>
  </si>
  <si>
    <t>&gt;=4 - 6</t>
  </si>
  <si>
    <t>&gt;=6 - 8</t>
  </si>
  <si>
    <t>7. Normalisasi</t>
  </si>
  <si>
    <t>C1= Cost: Nilai minimal / Nilai Alternatif Kriteria</t>
  </si>
  <si>
    <t xml:space="preserve">C2= Benefit: Nilai Alternatif Kriteria/ Nilai Maximal  </t>
  </si>
  <si>
    <t xml:space="preserve">C3= Benefit: Nilai Alternatif Kriteria/ Nilai Maximal  </t>
  </si>
  <si>
    <t>C4= Cost: Nilai minimal / Nilai Alternatif Kriteria</t>
  </si>
  <si>
    <t xml:space="preserve">C5= Benefit: Nilai Alternatif Kriteria/ Nilai Maximal  </t>
  </si>
  <si>
    <t>C6= Cost: Nilai minimal / Nilai Alternatif Kriteria</t>
  </si>
  <si>
    <t xml:space="preserve">C7= Benefit: Nilai Alternatif Kriteria/ Nilai Maximal  </t>
  </si>
  <si>
    <t xml:space="preserve">C8= Benefit: Nilai Alternatif Kriteria/ Nilai Maximal  </t>
  </si>
  <si>
    <t xml:space="preserve">C9= Benefit: Nilai Alternatif Kriteria/ Nilai Maximal  </t>
  </si>
  <si>
    <t xml:space="preserve">C10= Benefit: Nilai Alternatif Kriteria/ Nilai Maximal  </t>
  </si>
  <si>
    <t>8. Matriks ternomalisasi</t>
  </si>
  <si>
    <t>9. Perangkingan</t>
  </si>
  <si>
    <t>Total</t>
  </si>
  <si>
    <t>Ranking</t>
  </si>
  <si>
    <t>&lt;=1</t>
  </si>
  <si>
    <t>kursi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</si>
</sst>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AEE5-C1DF-4E3B-B1A0-CC373A6F6C73}">
  <dimension ref="A2:O25"/>
  <sheetViews>
    <sheetView zoomScale="80" workbookViewId="0">
      <selection activeCell="H9" sqref="H9"/>
    </sheetView>
  </sheetViews>
  <sheetFormatPr defaultRowHeight="14.4" x14ac:dyDescent="0.3"/>
  <cols>
    <col min="1" max="1" width="4.44140625" customWidth="1"/>
    <col min="2" max="2" width="28.21875" customWidth="1"/>
    <col min="3" max="3" width="17.33203125" customWidth="1"/>
    <col min="4" max="4" width="25.109375" customWidth="1"/>
    <col min="5" max="5" width="18.33203125" customWidth="1"/>
    <col min="6" max="6" width="12.5546875" customWidth="1"/>
    <col min="7" max="7" width="11.5546875" customWidth="1"/>
    <col min="8" max="8" width="16.109375" customWidth="1"/>
    <col min="9" max="9" width="13.77734375" customWidth="1"/>
    <col min="10" max="10" width="18.109375" customWidth="1"/>
    <col min="11" max="11" width="13.44140625" customWidth="1"/>
    <col min="12" max="12" width="11.44140625" customWidth="1"/>
    <col min="13" max="13" width="18.88671875" customWidth="1"/>
    <col min="14" max="14" width="20.6640625" customWidth="1"/>
    <col min="15" max="15" width="18.21875" customWidth="1"/>
  </cols>
  <sheetData>
    <row r="2" spans="1:15" x14ac:dyDescent="0.3">
      <c r="A2" s="9" t="s">
        <v>77</v>
      </c>
      <c r="B2" s="9" t="s">
        <v>78</v>
      </c>
      <c r="C2" s="9" t="s">
        <v>79</v>
      </c>
      <c r="D2" s="9" t="s">
        <v>80</v>
      </c>
      <c r="E2" s="8" t="s">
        <v>81</v>
      </c>
      <c r="F2" s="9" t="s">
        <v>82</v>
      </c>
      <c r="G2" s="9" t="s">
        <v>83</v>
      </c>
      <c r="H2" s="12" t="s">
        <v>84</v>
      </c>
      <c r="I2" s="9" t="s">
        <v>42</v>
      </c>
      <c r="J2" s="9" t="s">
        <v>41</v>
      </c>
      <c r="K2" s="9" t="s">
        <v>2</v>
      </c>
      <c r="L2" s="9" t="s">
        <v>4</v>
      </c>
      <c r="M2" s="9" t="s">
        <v>85</v>
      </c>
      <c r="N2" s="9" t="s">
        <v>86</v>
      </c>
      <c r="O2" s="9" t="s">
        <v>87</v>
      </c>
    </row>
    <row r="3" spans="1:15" ht="100.8" x14ac:dyDescent="0.3">
      <c r="A3" s="6">
        <v>1</v>
      </c>
      <c r="B3" s="9" t="s">
        <v>88</v>
      </c>
      <c r="C3" s="9" t="s">
        <v>94</v>
      </c>
      <c r="D3" s="9" t="s">
        <v>95</v>
      </c>
      <c r="E3" s="8" t="s">
        <v>96</v>
      </c>
      <c r="G3" s="8" t="s">
        <v>97</v>
      </c>
      <c r="H3" s="3" t="s">
        <v>103</v>
      </c>
      <c r="I3" s="9" t="s">
        <v>105</v>
      </c>
      <c r="J3" s="7" t="s">
        <v>104</v>
      </c>
      <c r="K3" s="9" t="s">
        <v>100</v>
      </c>
      <c r="L3" s="5" t="s">
        <v>106</v>
      </c>
      <c r="M3" s="5" t="s">
        <v>110</v>
      </c>
      <c r="N3" s="9" t="s">
        <v>60</v>
      </c>
      <c r="O3" s="5" t="s">
        <v>109</v>
      </c>
    </row>
    <row r="4" spans="1:15" ht="115.2" x14ac:dyDescent="0.3">
      <c r="A4" s="6">
        <v>2</v>
      </c>
      <c r="B4" s="9" t="s">
        <v>89</v>
      </c>
      <c r="C4" s="9" t="s">
        <v>94</v>
      </c>
      <c r="D4" s="9" t="s">
        <v>95</v>
      </c>
      <c r="E4" s="8" t="s">
        <v>96</v>
      </c>
      <c r="G4" s="8" t="s">
        <v>98</v>
      </c>
      <c r="H4" s="11" t="s">
        <v>102</v>
      </c>
      <c r="I4" s="9" t="s">
        <v>105</v>
      </c>
      <c r="J4" s="7" t="s">
        <v>104</v>
      </c>
      <c r="K4" s="9" t="s">
        <v>100</v>
      </c>
      <c r="L4" s="5" t="s">
        <v>108</v>
      </c>
      <c r="M4" s="5" t="s">
        <v>110</v>
      </c>
      <c r="N4" s="5" t="s">
        <v>107</v>
      </c>
      <c r="O4" s="5" t="s">
        <v>109</v>
      </c>
    </row>
    <row r="5" spans="1:15" ht="115.2" x14ac:dyDescent="0.3">
      <c r="A5" s="9">
        <v>3</v>
      </c>
      <c r="B5" s="9" t="s">
        <v>90</v>
      </c>
      <c r="C5" s="9" t="s">
        <v>94</v>
      </c>
      <c r="D5" s="4"/>
      <c r="E5" s="8" t="s">
        <v>96</v>
      </c>
      <c r="G5" s="10" t="s">
        <v>99</v>
      </c>
      <c r="H5" s="11" t="s">
        <v>102</v>
      </c>
      <c r="I5" s="9" t="s">
        <v>105</v>
      </c>
      <c r="J5" s="7" t="s">
        <v>104</v>
      </c>
      <c r="K5" s="9" t="s">
        <v>101</v>
      </c>
      <c r="L5" s="5" t="s">
        <v>108</v>
      </c>
      <c r="M5" s="5" t="s">
        <v>110</v>
      </c>
      <c r="O5" s="5" t="s">
        <v>109</v>
      </c>
    </row>
    <row r="6" spans="1:15" ht="72" x14ac:dyDescent="0.3">
      <c r="A6" s="9">
        <v>4</v>
      </c>
      <c r="B6" s="9" t="s">
        <v>93</v>
      </c>
      <c r="C6" s="9" t="s">
        <v>124</v>
      </c>
      <c r="D6" s="9" t="s">
        <v>128</v>
      </c>
      <c r="E6" s="8" t="s">
        <v>127</v>
      </c>
      <c r="F6" s="9" t="s">
        <v>126</v>
      </c>
      <c r="G6" s="14" t="s">
        <v>123</v>
      </c>
      <c r="H6" s="13" t="s">
        <v>122</v>
      </c>
      <c r="I6" s="12" t="s">
        <v>120</v>
      </c>
      <c r="J6" s="7" t="s">
        <v>104</v>
      </c>
      <c r="K6" s="9" t="s">
        <v>119</v>
      </c>
      <c r="L6" s="5" t="s">
        <v>121</v>
      </c>
      <c r="M6" s="5" t="s">
        <v>110</v>
      </c>
      <c r="N6" s="9" t="s">
        <v>125</v>
      </c>
      <c r="O6" s="5" t="s">
        <v>109</v>
      </c>
    </row>
    <row r="7" spans="1:15" ht="72" x14ac:dyDescent="0.3">
      <c r="A7" s="9">
        <v>5</v>
      </c>
      <c r="B7" s="9" t="s">
        <v>91</v>
      </c>
      <c r="C7" s="9" t="s">
        <v>111</v>
      </c>
      <c r="D7" s="9" t="s">
        <v>115</v>
      </c>
      <c r="E7" s="8" t="s">
        <v>112</v>
      </c>
      <c r="F7" s="9" t="s">
        <v>114</v>
      </c>
      <c r="G7" s="8" t="s">
        <v>99</v>
      </c>
      <c r="H7" s="3" t="s">
        <v>116</v>
      </c>
      <c r="I7" s="12" t="s">
        <v>113</v>
      </c>
      <c r="J7" s="7" t="s">
        <v>104</v>
      </c>
      <c r="K7" s="9" t="s">
        <v>100</v>
      </c>
      <c r="L7" s="5" t="s">
        <v>108</v>
      </c>
      <c r="M7" s="5" t="s">
        <v>110</v>
      </c>
      <c r="N7" s="13" t="s">
        <v>118</v>
      </c>
      <c r="O7" s="5" t="s">
        <v>109</v>
      </c>
    </row>
    <row r="8" spans="1:15" ht="86.4" x14ac:dyDescent="0.3">
      <c r="A8" s="9">
        <v>6</v>
      </c>
      <c r="B8" s="9" t="s">
        <v>92</v>
      </c>
      <c r="C8" s="12" t="s">
        <v>129</v>
      </c>
      <c r="D8" s="9" t="s">
        <v>95</v>
      </c>
      <c r="E8" s="14" t="s">
        <v>130</v>
      </c>
      <c r="F8" s="9" t="s">
        <v>126</v>
      </c>
      <c r="G8" s="8" t="s">
        <v>131</v>
      </c>
      <c r="H8" s="3" t="s">
        <v>133</v>
      </c>
      <c r="I8" s="9" t="s">
        <v>105</v>
      </c>
      <c r="J8" s="7" t="s">
        <v>104</v>
      </c>
      <c r="K8" s="9" t="s">
        <v>132</v>
      </c>
      <c r="L8" s="5" t="s">
        <v>108</v>
      </c>
      <c r="M8" s="5" t="s">
        <v>110</v>
      </c>
      <c r="N8" t="s">
        <v>117</v>
      </c>
      <c r="O8" s="5" t="s">
        <v>109</v>
      </c>
    </row>
    <row r="9" spans="1:15" x14ac:dyDescent="0.3">
      <c r="E9" s="2"/>
      <c r="G9" s="2"/>
      <c r="H9" s="3"/>
    </row>
    <row r="10" spans="1:15" x14ac:dyDescent="0.3">
      <c r="E10" s="2"/>
      <c r="G10" s="2"/>
      <c r="H10" s="3"/>
    </row>
    <row r="11" spans="1:15" x14ac:dyDescent="0.3">
      <c r="E11" s="2"/>
      <c r="G11" s="2"/>
      <c r="H11" s="3"/>
    </row>
    <row r="12" spans="1:15" x14ac:dyDescent="0.3">
      <c r="E12" s="2"/>
      <c r="G12" s="2"/>
      <c r="H12" s="3"/>
    </row>
    <row r="13" spans="1:15" x14ac:dyDescent="0.3">
      <c r="E13" s="2"/>
      <c r="G13" s="2"/>
      <c r="H13" s="3"/>
    </row>
    <row r="14" spans="1:15" x14ac:dyDescent="0.3">
      <c r="E14" s="2"/>
      <c r="G14" s="2"/>
      <c r="H14" s="3"/>
    </row>
    <row r="15" spans="1:15" x14ac:dyDescent="0.3">
      <c r="E15" s="2"/>
      <c r="G15" s="2"/>
      <c r="H15" s="3"/>
    </row>
    <row r="16" spans="1:15" x14ac:dyDescent="0.3">
      <c r="E16" s="2"/>
      <c r="G16" s="2"/>
      <c r="H16" s="3"/>
    </row>
    <row r="17" spans="5:8" x14ac:dyDescent="0.3">
      <c r="E17" s="2"/>
      <c r="G17" s="2"/>
      <c r="H17" s="3"/>
    </row>
    <row r="18" spans="5:8" x14ac:dyDescent="0.3">
      <c r="E18" s="2"/>
      <c r="G18" s="2"/>
      <c r="H18" s="3"/>
    </row>
    <row r="19" spans="5:8" x14ac:dyDescent="0.3">
      <c r="E19" s="2"/>
      <c r="G19" s="2"/>
      <c r="H19" s="3"/>
    </row>
    <row r="20" spans="5:8" x14ac:dyDescent="0.3">
      <c r="E20" s="2"/>
      <c r="G20" s="2"/>
      <c r="H20" s="3"/>
    </row>
    <row r="21" spans="5:8" x14ac:dyDescent="0.3">
      <c r="E21" s="2"/>
      <c r="H21" s="3"/>
    </row>
    <row r="22" spans="5:8" x14ac:dyDescent="0.3">
      <c r="E22" s="2"/>
      <c r="H22" s="3"/>
    </row>
    <row r="23" spans="5:8" x14ac:dyDescent="0.3">
      <c r="E23" s="2"/>
    </row>
    <row r="24" spans="5:8" x14ac:dyDescent="0.3">
      <c r="E24" s="2"/>
    </row>
    <row r="25" spans="5:8" x14ac:dyDescent="0.3">
      <c r="E2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7028-436B-4FE2-9CD4-951DC7160D43}">
  <dimension ref="A1:N25"/>
  <sheetViews>
    <sheetView zoomScale="118" workbookViewId="0">
      <selection activeCell="B2" sqref="B2"/>
    </sheetView>
  </sheetViews>
  <sheetFormatPr defaultRowHeight="14.4" x14ac:dyDescent="0.3"/>
  <cols>
    <col min="1" max="1" width="20.44140625" customWidth="1"/>
    <col min="4" max="4" width="19.88671875" customWidth="1"/>
    <col min="7" max="7" width="18.109375" customWidth="1"/>
    <col min="10" max="10" width="18.5546875" customWidth="1"/>
  </cols>
  <sheetData>
    <row r="1" spans="1:14" x14ac:dyDescent="0.3">
      <c r="A1" t="s">
        <v>10</v>
      </c>
      <c r="B1" t="s">
        <v>11</v>
      </c>
      <c r="D1" t="s">
        <v>16</v>
      </c>
    </row>
    <row r="2" spans="1:14" x14ac:dyDescent="0.3">
      <c r="A2" t="s">
        <v>0</v>
      </c>
      <c r="B2">
        <f t="shared" ref="B2:B11" si="0">AVERAGE(B15,E15,H15,K15,N15)</f>
        <v>18.399999999999999</v>
      </c>
      <c r="D2">
        <v>1</v>
      </c>
    </row>
    <row r="3" spans="1:14" x14ac:dyDescent="0.3">
      <c r="A3" t="s">
        <v>1</v>
      </c>
      <c r="B3">
        <f t="shared" si="0"/>
        <v>11.2</v>
      </c>
      <c r="D3">
        <v>2</v>
      </c>
    </row>
    <row r="4" spans="1:14" x14ac:dyDescent="0.3">
      <c r="A4" t="s">
        <v>2</v>
      </c>
      <c r="B4">
        <f t="shared" si="0"/>
        <v>10.6</v>
      </c>
      <c r="D4">
        <v>3</v>
      </c>
    </row>
    <row r="5" spans="1:14" x14ac:dyDescent="0.3">
      <c r="A5" t="s">
        <v>3</v>
      </c>
      <c r="B5">
        <f t="shared" si="0"/>
        <v>11.6</v>
      </c>
      <c r="D5">
        <v>4</v>
      </c>
    </row>
    <row r="6" spans="1:14" x14ac:dyDescent="0.3">
      <c r="A6" t="s">
        <v>4</v>
      </c>
      <c r="B6">
        <f t="shared" si="0"/>
        <v>14.2</v>
      </c>
      <c r="D6">
        <v>5</v>
      </c>
    </row>
    <row r="7" spans="1:14" x14ac:dyDescent="0.3">
      <c r="A7" t="s">
        <v>5</v>
      </c>
      <c r="B7">
        <f t="shared" si="0"/>
        <v>7.2</v>
      </c>
      <c r="D7">
        <v>6</v>
      </c>
    </row>
    <row r="8" spans="1:14" x14ac:dyDescent="0.3">
      <c r="A8" t="s">
        <v>6</v>
      </c>
      <c r="B8">
        <f t="shared" si="0"/>
        <v>7</v>
      </c>
      <c r="D8">
        <v>7</v>
      </c>
    </row>
    <row r="9" spans="1:14" x14ac:dyDescent="0.3">
      <c r="A9" t="s">
        <v>7</v>
      </c>
      <c r="B9">
        <f t="shared" si="0"/>
        <v>6</v>
      </c>
      <c r="D9">
        <v>8</v>
      </c>
    </row>
    <row r="10" spans="1:14" x14ac:dyDescent="0.3">
      <c r="A10" t="s">
        <v>8</v>
      </c>
      <c r="B10">
        <f t="shared" si="0"/>
        <v>7</v>
      </c>
      <c r="D10">
        <v>9</v>
      </c>
    </row>
    <row r="11" spans="1:14" x14ac:dyDescent="0.3">
      <c r="A11" t="s">
        <v>9</v>
      </c>
      <c r="B11">
        <f t="shared" si="0"/>
        <v>6.8</v>
      </c>
      <c r="D11">
        <v>10</v>
      </c>
    </row>
    <row r="12" spans="1:14" x14ac:dyDescent="0.3">
      <c r="B12">
        <f>SUM(B2:B11)</f>
        <v>100</v>
      </c>
    </row>
    <row r="13" spans="1:14" x14ac:dyDescent="0.3">
      <c r="A13" t="s">
        <v>12</v>
      </c>
      <c r="D13" t="s">
        <v>13</v>
      </c>
      <c r="G13" t="s">
        <v>14</v>
      </c>
      <c r="J13" t="s">
        <v>15</v>
      </c>
    </row>
    <row r="14" spans="1:14" x14ac:dyDescent="0.3">
      <c r="A14" t="s">
        <v>10</v>
      </c>
      <c r="B14" t="s">
        <v>11</v>
      </c>
      <c r="D14" t="s">
        <v>10</v>
      </c>
      <c r="E14" t="s">
        <v>11</v>
      </c>
      <c r="G14" t="s">
        <v>10</v>
      </c>
      <c r="H14" t="s">
        <v>11</v>
      </c>
      <c r="J14" t="s">
        <v>10</v>
      </c>
      <c r="K14" t="s">
        <v>11</v>
      </c>
      <c r="M14" t="s">
        <v>10</v>
      </c>
      <c r="N14" t="s">
        <v>11</v>
      </c>
    </row>
    <row r="15" spans="1:14" x14ac:dyDescent="0.3">
      <c r="A15" t="s">
        <v>0</v>
      </c>
      <c r="B15">
        <v>22</v>
      </c>
      <c r="D15" t="s">
        <v>0</v>
      </c>
      <c r="E15">
        <v>25</v>
      </c>
      <c r="G15" t="s">
        <v>0</v>
      </c>
      <c r="H15">
        <v>20</v>
      </c>
      <c r="J15" t="s">
        <v>0</v>
      </c>
      <c r="K15">
        <v>13</v>
      </c>
      <c r="M15" t="s">
        <v>0</v>
      </c>
      <c r="N15">
        <v>12</v>
      </c>
    </row>
    <row r="16" spans="1:14" x14ac:dyDescent="0.3">
      <c r="A16" t="s">
        <v>1</v>
      </c>
      <c r="B16">
        <v>18</v>
      </c>
      <c r="D16" t="s">
        <v>1</v>
      </c>
      <c r="E16">
        <v>8</v>
      </c>
      <c r="G16" t="s">
        <v>1</v>
      </c>
      <c r="H16">
        <v>10</v>
      </c>
      <c r="J16" t="s">
        <v>1</v>
      </c>
      <c r="K16">
        <v>10</v>
      </c>
      <c r="M16" t="s">
        <v>1</v>
      </c>
      <c r="N16">
        <v>10</v>
      </c>
    </row>
    <row r="17" spans="1:14" x14ac:dyDescent="0.3">
      <c r="A17" t="s">
        <v>2</v>
      </c>
      <c r="B17">
        <v>12</v>
      </c>
      <c r="D17" t="s">
        <v>2</v>
      </c>
      <c r="E17">
        <v>10</v>
      </c>
      <c r="G17" t="s">
        <v>2</v>
      </c>
      <c r="H17">
        <v>15</v>
      </c>
      <c r="J17" t="s">
        <v>2</v>
      </c>
      <c r="K17">
        <v>5</v>
      </c>
      <c r="M17" t="s">
        <v>2</v>
      </c>
      <c r="N17">
        <v>11</v>
      </c>
    </row>
    <row r="18" spans="1:14" x14ac:dyDescent="0.3">
      <c r="A18" t="s">
        <v>3</v>
      </c>
      <c r="B18">
        <v>8</v>
      </c>
      <c r="D18" t="s">
        <v>3</v>
      </c>
      <c r="E18">
        <v>20</v>
      </c>
      <c r="G18" t="s">
        <v>3</v>
      </c>
      <c r="H18">
        <v>15</v>
      </c>
      <c r="J18" t="s">
        <v>3</v>
      </c>
      <c r="K18">
        <v>5</v>
      </c>
      <c r="M18" t="s">
        <v>3</v>
      </c>
      <c r="N18">
        <v>10</v>
      </c>
    </row>
    <row r="19" spans="1:14" x14ac:dyDescent="0.3">
      <c r="A19" t="s">
        <v>4</v>
      </c>
      <c r="B19">
        <v>10</v>
      </c>
      <c r="D19" t="s">
        <v>4</v>
      </c>
      <c r="E19">
        <v>15</v>
      </c>
      <c r="G19" t="s">
        <v>4</v>
      </c>
      <c r="H19">
        <v>6</v>
      </c>
      <c r="J19" t="s">
        <v>4</v>
      </c>
      <c r="K19">
        <v>20</v>
      </c>
      <c r="M19" t="s">
        <v>4</v>
      </c>
      <c r="N19">
        <v>20</v>
      </c>
    </row>
    <row r="20" spans="1:14" x14ac:dyDescent="0.3">
      <c r="A20" t="s">
        <v>5</v>
      </c>
      <c r="B20">
        <v>8</v>
      </c>
      <c r="D20" t="s">
        <v>5</v>
      </c>
      <c r="E20">
        <v>2</v>
      </c>
      <c r="G20" t="s">
        <v>5</v>
      </c>
      <c r="H20">
        <v>6</v>
      </c>
      <c r="J20" t="s">
        <v>5</v>
      </c>
      <c r="K20">
        <v>10</v>
      </c>
      <c r="M20" t="s">
        <v>5</v>
      </c>
      <c r="N20">
        <v>10</v>
      </c>
    </row>
    <row r="21" spans="1:14" x14ac:dyDescent="0.3">
      <c r="A21" t="s">
        <v>6</v>
      </c>
      <c r="B21">
        <v>6</v>
      </c>
      <c r="D21" t="s">
        <v>6</v>
      </c>
      <c r="E21">
        <v>5</v>
      </c>
      <c r="G21" t="s">
        <v>6</v>
      </c>
      <c r="H21">
        <v>10</v>
      </c>
      <c r="J21" t="s">
        <v>6</v>
      </c>
      <c r="K21">
        <v>7</v>
      </c>
      <c r="M21" t="s">
        <v>6</v>
      </c>
      <c r="N21">
        <v>7</v>
      </c>
    </row>
    <row r="22" spans="1:14" x14ac:dyDescent="0.3">
      <c r="A22" t="s">
        <v>7</v>
      </c>
      <c r="B22">
        <v>5</v>
      </c>
      <c r="D22" t="s">
        <v>7</v>
      </c>
      <c r="E22">
        <v>5</v>
      </c>
      <c r="G22" t="s">
        <v>7</v>
      </c>
      <c r="H22">
        <v>5</v>
      </c>
      <c r="J22" t="s">
        <v>7</v>
      </c>
      <c r="K22">
        <v>10</v>
      </c>
      <c r="M22" t="s">
        <v>7</v>
      </c>
      <c r="N22">
        <v>5</v>
      </c>
    </row>
    <row r="23" spans="1:14" x14ac:dyDescent="0.3">
      <c r="A23" t="s">
        <v>8</v>
      </c>
      <c r="B23">
        <v>5</v>
      </c>
      <c r="D23" t="s">
        <v>8</v>
      </c>
      <c r="E23">
        <v>5</v>
      </c>
      <c r="G23" t="s">
        <v>8</v>
      </c>
      <c r="H23">
        <v>5</v>
      </c>
      <c r="J23" t="s">
        <v>8</v>
      </c>
      <c r="K23">
        <v>10</v>
      </c>
      <c r="M23" t="s">
        <v>8</v>
      </c>
      <c r="N23">
        <v>10</v>
      </c>
    </row>
    <row r="24" spans="1:14" x14ac:dyDescent="0.3">
      <c r="A24" t="s">
        <v>9</v>
      </c>
      <c r="B24">
        <v>6</v>
      </c>
      <c r="D24" t="s">
        <v>9</v>
      </c>
      <c r="E24">
        <v>5</v>
      </c>
      <c r="G24" t="s">
        <v>9</v>
      </c>
      <c r="H24">
        <v>8</v>
      </c>
      <c r="J24" t="s">
        <v>9</v>
      </c>
      <c r="K24">
        <v>10</v>
      </c>
      <c r="M24" t="s">
        <v>9</v>
      </c>
      <c r="N24">
        <v>5</v>
      </c>
    </row>
    <row r="25" spans="1:14" x14ac:dyDescent="0.3">
      <c r="B25">
        <f>SUM(B15:B24)</f>
        <v>100</v>
      </c>
      <c r="E25">
        <f>SUM(E15:E24)</f>
        <v>100</v>
      </c>
      <c r="H25">
        <f>SUM(H15:H24)</f>
        <v>100</v>
      </c>
      <c r="K25">
        <f>SUM(K15:K24)</f>
        <v>100</v>
      </c>
      <c r="N25">
        <f>SUM(N15:N24)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EEF9-7F2E-4545-9951-0F532151B120}">
  <dimension ref="A1:U27"/>
  <sheetViews>
    <sheetView zoomScale="117" workbookViewId="0">
      <selection activeCell="B20" sqref="B20"/>
    </sheetView>
  </sheetViews>
  <sheetFormatPr defaultRowHeight="14.4" x14ac:dyDescent="0.3"/>
  <cols>
    <col min="1" max="1" width="20.77734375" customWidth="1"/>
    <col min="3" max="3" width="25" customWidth="1"/>
    <col min="6" max="6" width="26" customWidth="1"/>
    <col min="10" max="10" width="15" customWidth="1"/>
    <col min="14" max="14" width="18.77734375" customWidth="1"/>
    <col min="18" max="18" width="15" customWidth="1"/>
    <col min="21" max="21" width="19.88671875" customWidth="1"/>
  </cols>
  <sheetData>
    <row r="1" spans="1:21" x14ac:dyDescent="0.3">
      <c r="A1" s="1" t="s">
        <v>10</v>
      </c>
      <c r="B1" s="1" t="s">
        <v>11</v>
      </c>
      <c r="C1" s="1" t="s">
        <v>18</v>
      </c>
      <c r="E1" t="s">
        <v>17</v>
      </c>
      <c r="U1" t="s">
        <v>40</v>
      </c>
    </row>
    <row r="2" spans="1:21" x14ac:dyDescent="0.3">
      <c r="A2" s="1" t="s">
        <v>0</v>
      </c>
      <c r="B2" s="1">
        <f>Ressponden!B2</f>
        <v>18.399999999999999</v>
      </c>
      <c r="C2" s="1" t="s">
        <v>19</v>
      </c>
      <c r="U2" t="s">
        <v>64</v>
      </c>
    </row>
    <row r="3" spans="1:21" x14ac:dyDescent="0.3">
      <c r="A3" s="1" t="s">
        <v>1</v>
      </c>
      <c r="B3" s="1">
        <f>Ressponden!B3</f>
        <v>11.2</v>
      </c>
      <c r="C3" s="1" t="s">
        <v>20</v>
      </c>
      <c r="E3" t="s">
        <v>19</v>
      </c>
      <c r="F3" t="s">
        <v>30</v>
      </c>
      <c r="I3" t="s">
        <v>22</v>
      </c>
      <c r="J3" t="s">
        <v>3</v>
      </c>
      <c r="M3" t="s">
        <v>25</v>
      </c>
      <c r="N3" t="s">
        <v>40</v>
      </c>
      <c r="U3" t="s">
        <v>65</v>
      </c>
    </row>
    <row r="4" spans="1:21" x14ac:dyDescent="0.3">
      <c r="A4" s="1" t="s">
        <v>2</v>
      </c>
      <c r="B4" s="1">
        <f>Ressponden!B4</f>
        <v>10.6</v>
      </c>
      <c r="C4" s="1" t="s">
        <v>21</v>
      </c>
      <c r="F4" t="s">
        <v>29</v>
      </c>
      <c r="G4" t="s">
        <v>11</v>
      </c>
      <c r="J4" t="s">
        <v>29</v>
      </c>
      <c r="K4" t="s">
        <v>11</v>
      </c>
      <c r="N4" t="s">
        <v>29</v>
      </c>
      <c r="O4" t="s">
        <v>11</v>
      </c>
      <c r="U4" t="s">
        <v>137</v>
      </c>
    </row>
    <row r="5" spans="1:21" x14ac:dyDescent="0.3">
      <c r="A5" s="1" t="s">
        <v>3</v>
      </c>
      <c r="B5" s="1">
        <f>Ressponden!B5</f>
        <v>11.6</v>
      </c>
      <c r="C5" s="1" t="s">
        <v>22</v>
      </c>
      <c r="F5" t="s">
        <v>31</v>
      </c>
      <c r="G5">
        <v>1</v>
      </c>
      <c r="J5" t="s">
        <v>51</v>
      </c>
      <c r="K5">
        <v>1</v>
      </c>
      <c r="N5">
        <v>1</v>
      </c>
      <c r="O5">
        <v>1</v>
      </c>
      <c r="U5" t="s">
        <v>66</v>
      </c>
    </row>
    <row r="6" spans="1:21" x14ac:dyDescent="0.3">
      <c r="A6" s="1" t="s">
        <v>4</v>
      </c>
      <c r="B6" s="1">
        <f>Ressponden!B6</f>
        <v>14.2</v>
      </c>
      <c r="C6" s="1" t="s">
        <v>23</v>
      </c>
      <c r="F6" t="s">
        <v>32</v>
      </c>
      <c r="G6">
        <v>2</v>
      </c>
      <c r="J6" t="s">
        <v>52</v>
      </c>
      <c r="K6">
        <v>2</v>
      </c>
      <c r="N6">
        <v>2</v>
      </c>
      <c r="O6">
        <v>2</v>
      </c>
      <c r="U6" t="s">
        <v>136</v>
      </c>
    </row>
    <row r="7" spans="1:21" x14ac:dyDescent="0.3">
      <c r="A7" s="1" t="s">
        <v>5</v>
      </c>
      <c r="B7" s="1">
        <f>Ressponden!B7</f>
        <v>7.2</v>
      </c>
      <c r="C7" s="1" t="s">
        <v>24</v>
      </c>
      <c r="F7" t="s">
        <v>33</v>
      </c>
      <c r="G7">
        <v>3</v>
      </c>
      <c r="J7" t="s">
        <v>53</v>
      </c>
      <c r="K7">
        <v>3</v>
      </c>
      <c r="N7">
        <v>3</v>
      </c>
      <c r="O7">
        <v>3</v>
      </c>
    </row>
    <row r="8" spans="1:21" x14ac:dyDescent="0.3">
      <c r="A8" s="1" t="s">
        <v>6</v>
      </c>
      <c r="B8" s="1">
        <f>Ressponden!B8</f>
        <v>7</v>
      </c>
      <c r="C8" s="1" t="s">
        <v>25</v>
      </c>
      <c r="F8" t="s">
        <v>34</v>
      </c>
      <c r="G8">
        <v>4</v>
      </c>
      <c r="J8" t="s">
        <v>54</v>
      </c>
      <c r="K8">
        <v>4</v>
      </c>
      <c r="N8">
        <v>4</v>
      </c>
      <c r="O8">
        <v>4</v>
      </c>
      <c r="U8" t="s">
        <v>1</v>
      </c>
    </row>
    <row r="9" spans="1:21" x14ac:dyDescent="0.3">
      <c r="A9" s="1" t="s">
        <v>7</v>
      </c>
      <c r="B9" s="1">
        <f>Ressponden!B9</f>
        <v>6</v>
      </c>
      <c r="C9" s="1" t="s">
        <v>26</v>
      </c>
      <c r="F9" t="s">
        <v>35</v>
      </c>
      <c r="G9">
        <v>5</v>
      </c>
      <c r="J9" t="s">
        <v>55</v>
      </c>
      <c r="K9">
        <v>5</v>
      </c>
      <c r="N9">
        <v>5</v>
      </c>
      <c r="O9">
        <v>5</v>
      </c>
      <c r="U9" t="s">
        <v>134</v>
      </c>
    </row>
    <row r="10" spans="1:21" x14ac:dyDescent="0.3">
      <c r="A10" s="1" t="s">
        <v>8</v>
      </c>
      <c r="B10" s="1">
        <f>Ressponden!B10</f>
        <v>7</v>
      </c>
      <c r="C10" s="1" t="s">
        <v>27</v>
      </c>
      <c r="U10" t="s">
        <v>72</v>
      </c>
    </row>
    <row r="11" spans="1:21" x14ac:dyDescent="0.3">
      <c r="A11" s="1" t="s">
        <v>9</v>
      </c>
      <c r="B11" s="1">
        <f>Ressponden!B11</f>
        <v>6.8</v>
      </c>
      <c r="C11" s="1" t="s">
        <v>28</v>
      </c>
      <c r="E11" t="s">
        <v>20</v>
      </c>
      <c r="F11" s="1" t="s">
        <v>1</v>
      </c>
      <c r="I11" t="s">
        <v>23</v>
      </c>
      <c r="J11" t="s">
        <v>4</v>
      </c>
      <c r="M11" t="s">
        <v>26</v>
      </c>
      <c r="N11" t="s">
        <v>41</v>
      </c>
      <c r="Q11" t="s">
        <v>28</v>
      </c>
      <c r="R11" t="s">
        <v>43</v>
      </c>
      <c r="U11" t="s">
        <v>73</v>
      </c>
    </row>
    <row r="12" spans="1:21" x14ac:dyDescent="0.3">
      <c r="B12">
        <f>Ressponden!B12</f>
        <v>100</v>
      </c>
      <c r="F12" t="s">
        <v>29</v>
      </c>
      <c r="G12" t="s">
        <v>11</v>
      </c>
      <c r="J12" t="s">
        <v>29</v>
      </c>
      <c r="K12" t="s">
        <v>11</v>
      </c>
      <c r="N12" t="s">
        <v>29</v>
      </c>
      <c r="O12" t="s">
        <v>11</v>
      </c>
      <c r="R12" t="s">
        <v>29</v>
      </c>
      <c r="S12" t="s">
        <v>11</v>
      </c>
      <c r="U12" t="s">
        <v>74</v>
      </c>
    </row>
    <row r="13" spans="1:21" x14ac:dyDescent="0.3">
      <c r="F13" t="s">
        <v>140</v>
      </c>
      <c r="G13">
        <v>1</v>
      </c>
      <c r="J13" t="s">
        <v>56</v>
      </c>
      <c r="K13">
        <v>1</v>
      </c>
      <c r="N13" t="s">
        <v>205</v>
      </c>
      <c r="O13">
        <v>1</v>
      </c>
      <c r="R13" t="s">
        <v>68</v>
      </c>
      <c r="S13">
        <v>1</v>
      </c>
      <c r="U13" t="s">
        <v>75</v>
      </c>
    </row>
    <row r="14" spans="1:21" x14ac:dyDescent="0.3">
      <c r="F14" t="s">
        <v>209</v>
      </c>
      <c r="G14">
        <v>2</v>
      </c>
      <c r="J14" t="s">
        <v>142</v>
      </c>
      <c r="K14">
        <v>2</v>
      </c>
      <c r="N14" t="s">
        <v>204</v>
      </c>
      <c r="O14">
        <v>2</v>
      </c>
      <c r="R14" t="s">
        <v>69</v>
      </c>
      <c r="S14">
        <v>2</v>
      </c>
      <c r="U14" t="s">
        <v>76</v>
      </c>
    </row>
    <row r="15" spans="1:21" x14ac:dyDescent="0.3">
      <c r="F15" t="s">
        <v>210</v>
      </c>
      <c r="G15">
        <v>3</v>
      </c>
      <c r="J15" t="s">
        <v>57</v>
      </c>
      <c r="K15">
        <v>3</v>
      </c>
      <c r="N15" t="s">
        <v>67</v>
      </c>
      <c r="O15">
        <v>3</v>
      </c>
      <c r="R15" t="s">
        <v>70</v>
      </c>
      <c r="S15">
        <v>3</v>
      </c>
      <c r="U15" t="s">
        <v>74</v>
      </c>
    </row>
    <row r="16" spans="1:21" x14ac:dyDescent="0.3">
      <c r="A16" t="s">
        <v>10</v>
      </c>
      <c r="B16" t="s">
        <v>36</v>
      </c>
      <c r="F16" t="s">
        <v>211</v>
      </c>
      <c r="G16">
        <v>4</v>
      </c>
      <c r="J16" t="s">
        <v>58</v>
      </c>
      <c r="K16">
        <v>4</v>
      </c>
      <c r="R16" t="s">
        <v>71</v>
      </c>
      <c r="S16">
        <v>4</v>
      </c>
      <c r="U16" t="s">
        <v>135</v>
      </c>
    </row>
    <row r="17" spans="1:21" ht="43.2" x14ac:dyDescent="0.3">
      <c r="A17" t="s">
        <v>0</v>
      </c>
      <c r="B17" t="s">
        <v>37</v>
      </c>
      <c r="C17" t="s">
        <v>44</v>
      </c>
      <c r="F17" t="s">
        <v>141</v>
      </c>
      <c r="G17">
        <v>5</v>
      </c>
      <c r="J17" s="3" t="s">
        <v>143</v>
      </c>
      <c r="K17">
        <v>5</v>
      </c>
      <c r="U17" t="s">
        <v>138</v>
      </c>
    </row>
    <row r="18" spans="1:21" x14ac:dyDescent="0.3">
      <c r="A18" t="s">
        <v>1</v>
      </c>
      <c r="B18" t="s">
        <v>38</v>
      </c>
      <c r="C18" t="s">
        <v>45</v>
      </c>
      <c r="M18" t="s">
        <v>27</v>
      </c>
      <c r="N18" t="s">
        <v>42</v>
      </c>
      <c r="U18" t="s">
        <v>139</v>
      </c>
    </row>
    <row r="19" spans="1:21" x14ac:dyDescent="0.3">
      <c r="A19" t="s">
        <v>2</v>
      </c>
      <c r="B19" t="s">
        <v>38</v>
      </c>
      <c r="C19" t="s">
        <v>45</v>
      </c>
      <c r="N19" t="s">
        <v>29</v>
      </c>
      <c r="O19" t="s">
        <v>11</v>
      </c>
    </row>
    <row r="20" spans="1:21" x14ac:dyDescent="0.3">
      <c r="A20" t="s">
        <v>3</v>
      </c>
      <c r="B20" t="s">
        <v>37</v>
      </c>
      <c r="C20" t="s">
        <v>44</v>
      </c>
      <c r="N20" t="s">
        <v>205</v>
      </c>
      <c r="O20">
        <v>1</v>
      </c>
    </row>
    <row r="21" spans="1:21" x14ac:dyDescent="0.3">
      <c r="A21" t="s">
        <v>4</v>
      </c>
      <c r="B21" t="s">
        <v>38</v>
      </c>
      <c r="C21" t="s">
        <v>45</v>
      </c>
      <c r="E21" t="s">
        <v>21</v>
      </c>
      <c r="F21" t="s">
        <v>2</v>
      </c>
      <c r="I21" t="s">
        <v>24</v>
      </c>
      <c r="J21" t="s">
        <v>5</v>
      </c>
      <c r="N21" t="s">
        <v>204</v>
      </c>
      <c r="O21">
        <v>2</v>
      </c>
    </row>
    <row r="22" spans="1:21" x14ac:dyDescent="0.3">
      <c r="A22" t="s">
        <v>5</v>
      </c>
      <c r="B22" t="s">
        <v>37</v>
      </c>
      <c r="C22" t="s">
        <v>44</v>
      </c>
      <c r="F22" t="s">
        <v>39</v>
      </c>
      <c r="G22" t="s">
        <v>11</v>
      </c>
      <c r="J22" t="s">
        <v>29</v>
      </c>
      <c r="K22" t="s">
        <v>11</v>
      </c>
      <c r="N22" t="s">
        <v>67</v>
      </c>
      <c r="O22">
        <v>3</v>
      </c>
    </row>
    <row r="23" spans="1:21" x14ac:dyDescent="0.3">
      <c r="A23" t="s">
        <v>6</v>
      </c>
      <c r="B23" t="s">
        <v>38</v>
      </c>
      <c r="C23" t="s">
        <v>45</v>
      </c>
      <c r="F23" t="s">
        <v>50</v>
      </c>
      <c r="G23">
        <v>1</v>
      </c>
      <c r="J23" t="s">
        <v>59</v>
      </c>
      <c r="K23">
        <v>1</v>
      </c>
    </row>
    <row r="24" spans="1:21" x14ac:dyDescent="0.3">
      <c r="A24" t="s">
        <v>7</v>
      </c>
      <c r="B24" t="s">
        <v>38</v>
      </c>
      <c r="C24" t="s">
        <v>45</v>
      </c>
      <c r="F24" t="s">
        <v>46</v>
      </c>
      <c r="G24">
        <v>2</v>
      </c>
      <c r="J24" t="s">
        <v>60</v>
      </c>
      <c r="K24">
        <v>2</v>
      </c>
    </row>
    <row r="25" spans="1:21" x14ac:dyDescent="0.3">
      <c r="A25" t="s">
        <v>8</v>
      </c>
      <c r="B25" t="s">
        <v>38</v>
      </c>
      <c r="C25" t="s">
        <v>45</v>
      </c>
      <c r="F25" t="s">
        <v>47</v>
      </c>
      <c r="G25">
        <v>3</v>
      </c>
      <c r="J25" t="s">
        <v>61</v>
      </c>
      <c r="K25">
        <v>3</v>
      </c>
    </row>
    <row r="26" spans="1:21" x14ac:dyDescent="0.3">
      <c r="A26" t="s">
        <v>9</v>
      </c>
      <c r="B26" t="s">
        <v>38</v>
      </c>
      <c r="C26" t="s">
        <v>45</v>
      </c>
      <c r="F26" t="s">
        <v>48</v>
      </c>
      <c r="G26">
        <v>4</v>
      </c>
      <c r="J26" t="s">
        <v>62</v>
      </c>
      <c r="K26">
        <v>4</v>
      </c>
    </row>
    <row r="27" spans="1:21" x14ac:dyDescent="0.3">
      <c r="F27" t="s">
        <v>49</v>
      </c>
      <c r="G27">
        <v>5</v>
      </c>
      <c r="J27" t="s">
        <v>63</v>
      </c>
      <c r="K27"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1C62-8752-4999-BB16-F79297149C3E}">
  <dimension ref="A1:U112"/>
  <sheetViews>
    <sheetView tabSelected="1" topLeftCell="A99" zoomScale="88" workbookViewId="0">
      <selection activeCell="K117" sqref="K117"/>
    </sheetView>
  </sheetViews>
  <sheetFormatPr defaultRowHeight="14.4" x14ac:dyDescent="0.3"/>
  <cols>
    <col min="1" max="1" width="19.6640625" customWidth="1"/>
    <col min="2" max="2" width="18.77734375" customWidth="1"/>
    <col min="3" max="3" width="10.21875" customWidth="1"/>
    <col min="4" max="4" width="20.44140625" customWidth="1"/>
    <col min="6" max="6" width="27.44140625" customWidth="1"/>
    <col min="7" max="7" width="10.5546875" customWidth="1"/>
    <col min="8" max="8" width="11.109375" customWidth="1"/>
    <col min="9" max="9" width="14.44140625" customWidth="1"/>
    <col min="10" max="10" width="15.77734375" customWidth="1"/>
    <col min="11" max="11" width="13" customWidth="1"/>
    <col min="12" max="12" width="11.44140625" customWidth="1"/>
    <col min="14" max="14" width="20.21875" customWidth="1"/>
    <col min="18" max="18" width="17.44140625" customWidth="1"/>
  </cols>
  <sheetData>
    <row r="1" spans="1:21" x14ac:dyDescent="0.3">
      <c r="A1" t="s">
        <v>172</v>
      </c>
      <c r="E1" t="s">
        <v>187</v>
      </c>
      <c r="U1" t="s">
        <v>40</v>
      </c>
    </row>
    <row r="2" spans="1:21" x14ac:dyDescent="0.3">
      <c r="A2" s="9" t="s">
        <v>173</v>
      </c>
      <c r="B2" s="9" t="s">
        <v>196</v>
      </c>
      <c r="U2" t="s">
        <v>64</v>
      </c>
    </row>
    <row r="3" spans="1:21" x14ac:dyDescent="0.3">
      <c r="A3" s="9" t="s">
        <v>19</v>
      </c>
      <c r="B3" s="17" t="s">
        <v>0</v>
      </c>
      <c r="E3" t="s">
        <v>19</v>
      </c>
      <c r="F3" t="s">
        <v>30</v>
      </c>
      <c r="I3" t="s">
        <v>22</v>
      </c>
      <c r="J3" t="s">
        <v>3</v>
      </c>
      <c r="M3" t="s">
        <v>25</v>
      </c>
      <c r="N3" t="s">
        <v>40</v>
      </c>
      <c r="U3" t="s">
        <v>65</v>
      </c>
    </row>
    <row r="4" spans="1:21" x14ac:dyDescent="0.3">
      <c r="A4" s="9" t="s">
        <v>20</v>
      </c>
      <c r="B4" s="17" t="s">
        <v>1</v>
      </c>
      <c r="F4" t="s">
        <v>29</v>
      </c>
      <c r="G4" t="s">
        <v>11</v>
      </c>
      <c r="J4" t="s">
        <v>29</v>
      </c>
      <c r="K4" t="s">
        <v>11</v>
      </c>
      <c r="N4" t="s">
        <v>29</v>
      </c>
      <c r="O4" t="s">
        <v>11</v>
      </c>
      <c r="U4" t="s">
        <v>137</v>
      </c>
    </row>
    <row r="5" spans="1:21" x14ac:dyDescent="0.3">
      <c r="A5" s="9" t="s">
        <v>21</v>
      </c>
      <c r="B5" s="17" t="s">
        <v>2</v>
      </c>
      <c r="F5" t="s">
        <v>31</v>
      </c>
      <c r="G5">
        <v>1</v>
      </c>
      <c r="J5" t="s">
        <v>51</v>
      </c>
      <c r="K5">
        <v>1</v>
      </c>
      <c r="N5" t="s">
        <v>227</v>
      </c>
      <c r="O5">
        <v>1</v>
      </c>
      <c r="U5" t="s">
        <v>66</v>
      </c>
    </row>
    <row r="6" spans="1:21" x14ac:dyDescent="0.3">
      <c r="A6" s="9" t="s">
        <v>22</v>
      </c>
      <c r="B6" s="17" t="s">
        <v>3</v>
      </c>
      <c r="F6" t="s">
        <v>200</v>
      </c>
      <c r="G6">
        <v>2</v>
      </c>
      <c r="J6" t="s">
        <v>52</v>
      </c>
      <c r="K6">
        <v>2</v>
      </c>
      <c r="N6">
        <v>2</v>
      </c>
      <c r="O6">
        <v>2</v>
      </c>
      <c r="U6" t="s">
        <v>136</v>
      </c>
    </row>
    <row r="7" spans="1:21" x14ac:dyDescent="0.3">
      <c r="A7" s="9" t="s">
        <v>23</v>
      </c>
      <c r="B7" s="17" t="s">
        <v>4</v>
      </c>
      <c r="F7" t="s">
        <v>201</v>
      </c>
      <c r="G7">
        <v>3</v>
      </c>
      <c r="J7" t="s">
        <v>53</v>
      </c>
      <c r="K7">
        <v>3</v>
      </c>
      <c r="N7">
        <v>3</v>
      </c>
      <c r="O7">
        <v>3</v>
      </c>
    </row>
    <row r="8" spans="1:21" x14ac:dyDescent="0.3">
      <c r="A8" s="9" t="s">
        <v>24</v>
      </c>
      <c r="B8" s="17" t="s">
        <v>5</v>
      </c>
      <c r="F8" t="s">
        <v>202</v>
      </c>
      <c r="G8">
        <v>4</v>
      </c>
      <c r="J8" t="s">
        <v>54</v>
      </c>
      <c r="K8">
        <v>4</v>
      </c>
      <c r="N8">
        <v>4</v>
      </c>
      <c r="O8">
        <v>4</v>
      </c>
    </row>
    <row r="9" spans="1:21" x14ac:dyDescent="0.3">
      <c r="A9" s="9" t="s">
        <v>25</v>
      </c>
      <c r="B9" s="17" t="s">
        <v>6</v>
      </c>
      <c r="F9" t="s">
        <v>35</v>
      </c>
      <c r="G9">
        <v>5</v>
      </c>
      <c r="J9" t="s">
        <v>55</v>
      </c>
      <c r="K9">
        <v>5</v>
      </c>
      <c r="N9">
        <v>5</v>
      </c>
      <c r="O9">
        <v>5</v>
      </c>
    </row>
    <row r="10" spans="1:21" x14ac:dyDescent="0.3">
      <c r="A10" s="9" t="s">
        <v>26</v>
      </c>
      <c r="B10" s="17" t="s">
        <v>7</v>
      </c>
    </row>
    <row r="11" spans="1:21" x14ac:dyDescent="0.3">
      <c r="A11" s="9" t="s">
        <v>27</v>
      </c>
      <c r="B11" s="17" t="s">
        <v>8</v>
      </c>
      <c r="E11" t="s">
        <v>20</v>
      </c>
      <c r="F11" s="1" t="s">
        <v>1</v>
      </c>
      <c r="I11" t="s">
        <v>23</v>
      </c>
      <c r="J11" t="s">
        <v>4</v>
      </c>
      <c r="M11" t="s">
        <v>26</v>
      </c>
      <c r="N11" t="s">
        <v>41</v>
      </c>
      <c r="Q11" t="s">
        <v>28</v>
      </c>
      <c r="R11" t="s">
        <v>43</v>
      </c>
    </row>
    <row r="12" spans="1:21" x14ac:dyDescent="0.3">
      <c r="A12" s="9" t="s">
        <v>28</v>
      </c>
      <c r="B12" s="17" t="s">
        <v>9</v>
      </c>
      <c r="F12" t="s">
        <v>29</v>
      </c>
      <c r="G12" t="s">
        <v>11</v>
      </c>
      <c r="J12" t="s">
        <v>29</v>
      </c>
      <c r="K12" t="s">
        <v>11</v>
      </c>
      <c r="N12" t="s">
        <v>29</v>
      </c>
      <c r="O12" t="s">
        <v>11</v>
      </c>
      <c r="R12" t="s">
        <v>29</v>
      </c>
      <c r="S12" t="s">
        <v>11</v>
      </c>
    </row>
    <row r="13" spans="1:21" x14ac:dyDescent="0.3">
      <c r="B13" s="15"/>
      <c r="F13" t="s">
        <v>140</v>
      </c>
      <c r="G13">
        <v>1</v>
      </c>
      <c r="J13" t="s">
        <v>56</v>
      </c>
      <c r="K13">
        <v>1</v>
      </c>
      <c r="N13" t="s">
        <v>205</v>
      </c>
      <c r="O13">
        <v>1</v>
      </c>
      <c r="R13" t="s">
        <v>68</v>
      </c>
      <c r="S13">
        <v>1</v>
      </c>
    </row>
    <row r="14" spans="1:21" x14ac:dyDescent="0.3">
      <c r="B14" s="15"/>
      <c r="F14" t="s">
        <v>209</v>
      </c>
      <c r="G14">
        <v>2</v>
      </c>
      <c r="J14" t="s">
        <v>142</v>
      </c>
      <c r="K14">
        <v>2</v>
      </c>
      <c r="N14" t="s">
        <v>204</v>
      </c>
      <c r="O14">
        <v>2</v>
      </c>
      <c r="R14" t="s">
        <v>69</v>
      </c>
      <c r="S14">
        <v>2</v>
      </c>
    </row>
    <row r="15" spans="1:21" x14ac:dyDescent="0.3">
      <c r="A15" s="18" t="s">
        <v>171</v>
      </c>
      <c r="B15" s="15"/>
      <c r="F15" t="s">
        <v>210</v>
      </c>
      <c r="G15">
        <v>3</v>
      </c>
      <c r="J15" t="s">
        <v>57</v>
      </c>
      <c r="K15">
        <v>3</v>
      </c>
      <c r="N15" t="s">
        <v>67</v>
      </c>
      <c r="O15">
        <v>3</v>
      </c>
      <c r="R15" t="s">
        <v>70</v>
      </c>
      <c r="S15">
        <v>3</v>
      </c>
    </row>
    <row r="16" spans="1:21" x14ac:dyDescent="0.3">
      <c r="A16" s="9"/>
      <c r="B16" s="15"/>
      <c r="F16" t="s">
        <v>211</v>
      </c>
      <c r="G16">
        <v>4</v>
      </c>
      <c r="J16" t="s">
        <v>58</v>
      </c>
      <c r="K16">
        <v>4</v>
      </c>
    </row>
    <row r="17" spans="1:21" ht="43.2" x14ac:dyDescent="0.3">
      <c r="A17" s="15" t="s">
        <v>173</v>
      </c>
      <c r="B17" s="15" t="s">
        <v>174</v>
      </c>
      <c r="C17" s="15" t="s">
        <v>11</v>
      </c>
      <c r="F17" t="s">
        <v>141</v>
      </c>
      <c r="G17">
        <v>5</v>
      </c>
      <c r="J17" s="3" t="s">
        <v>143</v>
      </c>
      <c r="K17">
        <v>5</v>
      </c>
    </row>
    <row r="18" spans="1:21" x14ac:dyDescent="0.3">
      <c r="A18" s="9" t="s">
        <v>19</v>
      </c>
      <c r="B18" s="15" t="s">
        <v>175</v>
      </c>
      <c r="C18" s="15">
        <f>Ressponden!B2</f>
        <v>18.399999999999999</v>
      </c>
      <c r="M18" t="s">
        <v>27</v>
      </c>
      <c r="N18" t="s">
        <v>42</v>
      </c>
      <c r="U18" t="s">
        <v>1</v>
      </c>
    </row>
    <row r="19" spans="1:21" x14ac:dyDescent="0.3">
      <c r="A19" s="9" t="s">
        <v>20</v>
      </c>
      <c r="B19" s="15" t="s">
        <v>176</v>
      </c>
      <c r="C19" s="15">
        <f>Ressponden!B3</f>
        <v>11.2</v>
      </c>
      <c r="N19" t="s">
        <v>29</v>
      </c>
      <c r="O19" t="s">
        <v>11</v>
      </c>
      <c r="U19" t="s">
        <v>134</v>
      </c>
    </row>
    <row r="20" spans="1:21" x14ac:dyDescent="0.3">
      <c r="A20" s="9" t="s">
        <v>21</v>
      </c>
      <c r="B20" s="15" t="s">
        <v>177</v>
      </c>
      <c r="C20" s="15">
        <f>Ressponden!B4</f>
        <v>10.6</v>
      </c>
      <c r="N20" t="s">
        <v>205</v>
      </c>
      <c r="O20">
        <v>1</v>
      </c>
      <c r="U20" t="s">
        <v>72</v>
      </c>
    </row>
    <row r="21" spans="1:21" x14ac:dyDescent="0.3">
      <c r="A21" s="9" t="s">
        <v>22</v>
      </c>
      <c r="B21" s="15" t="s">
        <v>178</v>
      </c>
      <c r="C21" s="15">
        <f>Ressponden!B5</f>
        <v>11.6</v>
      </c>
      <c r="E21" t="s">
        <v>21</v>
      </c>
      <c r="F21" t="s">
        <v>2</v>
      </c>
      <c r="I21" t="s">
        <v>24</v>
      </c>
      <c r="J21" t="s">
        <v>5</v>
      </c>
      <c r="N21" t="s">
        <v>204</v>
      </c>
      <c r="O21">
        <v>2</v>
      </c>
      <c r="U21" t="s">
        <v>73</v>
      </c>
    </row>
    <row r="22" spans="1:21" x14ac:dyDescent="0.3">
      <c r="A22" s="9" t="s">
        <v>23</v>
      </c>
      <c r="B22" s="15" t="s">
        <v>179</v>
      </c>
      <c r="C22" s="15">
        <f>Ressponden!B6</f>
        <v>14.2</v>
      </c>
      <c r="F22" t="s">
        <v>39</v>
      </c>
      <c r="G22" t="s">
        <v>11</v>
      </c>
      <c r="J22" t="s">
        <v>29</v>
      </c>
      <c r="K22" t="s">
        <v>11</v>
      </c>
      <c r="N22" t="s">
        <v>67</v>
      </c>
      <c r="O22">
        <v>3</v>
      </c>
      <c r="U22" t="s">
        <v>74</v>
      </c>
    </row>
    <row r="23" spans="1:21" x14ac:dyDescent="0.3">
      <c r="A23" s="9" t="s">
        <v>24</v>
      </c>
      <c r="B23" s="15" t="s">
        <v>180</v>
      </c>
      <c r="C23" s="15">
        <f>Ressponden!B7</f>
        <v>7.2</v>
      </c>
      <c r="F23" t="s">
        <v>50</v>
      </c>
      <c r="G23">
        <v>1</v>
      </c>
      <c r="J23" t="s">
        <v>59</v>
      </c>
      <c r="K23">
        <v>1</v>
      </c>
      <c r="U23" t="s">
        <v>75</v>
      </c>
    </row>
    <row r="24" spans="1:21" x14ac:dyDescent="0.3">
      <c r="A24" s="9" t="s">
        <v>25</v>
      </c>
      <c r="B24" s="15" t="s">
        <v>181</v>
      </c>
      <c r="C24" s="15">
        <f>Ressponden!B8</f>
        <v>7</v>
      </c>
      <c r="F24" t="s">
        <v>46</v>
      </c>
      <c r="G24">
        <v>2</v>
      </c>
      <c r="J24" t="s">
        <v>60</v>
      </c>
      <c r="K24">
        <v>2</v>
      </c>
      <c r="U24" t="s">
        <v>76</v>
      </c>
    </row>
    <row r="25" spans="1:21" x14ac:dyDescent="0.3">
      <c r="A25" s="9" t="s">
        <v>26</v>
      </c>
      <c r="B25" s="15" t="s">
        <v>182</v>
      </c>
      <c r="C25" s="15">
        <f>Ressponden!B9</f>
        <v>6</v>
      </c>
      <c r="F25" t="s">
        <v>47</v>
      </c>
      <c r="G25">
        <v>3</v>
      </c>
      <c r="J25" t="s">
        <v>61</v>
      </c>
      <c r="K25">
        <v>3</v>
      </c>
      <c r="U25" t="s">
        <v>228</v>
      </c>
    </row>
    <row r="26" spans="1:21" x14ac:dyDescent="0.3">
      <c r="A26" s="9" t="s">
        <v>27</v>
      </c>
      <c r="B26" s="15" t="s">
        <v>183</v>
      </c>
      <c r="C26" s="15">
        <f>Ressponden!B10</f>
        <v>7</v>
      </c>
      <c r="F26" t="s">
        <v>48</v>
      </c>
      <c r="G26">
        <v>4</v>
      </c>
      <c r="J26" t="s">
        <v>62</v>
      </c>
      <c r="K26">
        <v>4</v>
      </c>
      <c r="U26" t="s">
        <v>135</v>
      </c>
    </row>
    <row r="27" spans="1:21" x14ac:dyDescent="0.3">
      <c r="A27" s="9" t="s">
        <v>28</v>
      </c>
      <c r="B27" s="15" t="s">
        <v>184</v>
      </c>
      <c r="C27" s="15">
        <f>Ressponden!B11</f>
        <v>6.8</v>
      </c>
      <c r="F27" t="s">
        <v>49</v>
      </c>
      <c r="G27">
        <v>5</v>
      </c>
      <c r="J27" t="s">
        <v>63</v>
      </c>
      <c r="K27">
        <v>5</v>
      </c>
      <c r="U27" t="s">
        <v>138</v>
      </c>
    </row>
    <row r="28" spans="1:21" x14ac:dyDescent="0.3">
      <c r="A28" s="4"/>
      <c r="B28" s="4"/>
      <c r="C28" s="4">
        <f>Ressponden!B12</f>
        <v>100</v>
      </c>
      <c r="U28" t="s">
        <v>139</v>
      </c>
    </row>
    <row r="30" spans="1:21" x14ac:dyDescent="0.3">
      <c r="A30" s="18" t="s">
        <v>185</v>
      </c>
    </row>
    <row r="32" spans="1:21" x14ac:dyDescent="0.3">
      <c r="A32" s="15" t="s">
        <v>173</v>
      </c>
      <c r="B32" s="9" t="s">
        <v>186</v>
      </c>
    </row>
    <row r="33" spans="1:12" x14ac:dyDescent="0.3">
      <c r="A33" s="9" t="s">
        <v>19</v>
      </c>
      <c r="B33" s="9" t="s">
        <v>37</v>
      </c>
    </row>
    <row r="34" spans="1:12" x14ac:dyDescent="0.3">
      <c r="A34" s="9" t="s">
        <v>20</v>
      </c>
      <c r="B34" s="9" t="s">
        <v>38</v>
      </c>
    </row>
    <row r="35" spans="1:12" x14ac:dyDescent="0.3">
      <c r="A35" s="9" t="s">
        <v>21</v>
      </c>
      <c r="B35" s="9" t="s">
        <v>38</v>
      </c>
    </row>
    <row r="36" spans="1:12" x14ac:dyDescent="0.3">
      <c r="A36" s="9" t="s">
        <v>22</v>
      </c>
      <c r="B36" s="9" t="s">
        <v>37</v>
      </c>
    </row>
    <row r="37" spans="1:12" x14ac:dyDescent="0.3">
      <c r="A37" s="9" t="s">
        <v>23</v>
      </c>
      <c r="B37" s="9" t="s">
        <v>38</v>
      </c>
    </row>
    <row r="38" spans="1:12" x14ac:dyDescent="0.3">
      <c r="A38" s="9" t="s">
        <v>24</v>
      </c>
      <c r="B38" s="9" t="s">
        <v>37</v>
      </c>
    </row>
    <row r="39" spans="1:12" x14ac:dyDescent="0.3">
      <c r="A39" s="9" t="s">
        <v>25</v>
      </c>
      <c r="B39" s="9" t="s">
        <v>38</v>
      </c>
    </row>
    <row r="40" spans="1:12" x14ac:dyDescent="0.3">
      <c r="A40" s="9" t="s">
        <v>26</v>
      </c>
      <c r="B40" s="9" t="s">
        <v>38</v>
      </c>
    </row>
    <row r="41" spans="1:12" x14ac:dyDescent="0.3">
      <c r="A41" s="9" t="s">
        <v>27</v>
      </c>
      <c r="B41" s="9" t="s">
        <v>38</v>
      </c>
    </row>
    <row r="42" spans="1:12" x14ac:dyDescent="0.3">
      <c r="A42" s="9" t="s">
        <v>28</v>
      </c>
      <c r="B42" s="9" t="s">
        <v>38</v>
      </c>
    </row>
    <row r="46" spans="1:12" x14ac:dyDescent="0.3">
      <c r="A46" s="9" t="s">
        <v>188</v>
      </c>
    </row>
    <row r="47" spans="1:12" x14ac:dyDescent="0.3">
      <c r="A47" s="18"/>
    </row>
    <row r="48" spans="1:12" ht="43.2" x14ac:dyDescent="0.3">
      <c r="A48" s="16" t="s">
        <v>77</v>
      </c>
      <c r="B48" s="16" t="s">
        <v>78</v>
      </c>
      <c r="C48" s="16" t="s">
        <v>144</v>
      </c>
      <c r="D48" s="16" t="s">
        <v>1</v>
      </c>
      <c r="E48" s="16" t="s">
        <v>145</v>
      </c>
      <c r="F48" s="16" t="s">
        <v>146</v>
      </c>
      <c r="G48" s="16" t="s">
        <v>4</v>
      </c>
      <c r="H48" s="16" t="s">
        <v>5</v>
      </c>
      <c r="I48" s="16" t="s">
        <v>40</v>
      </c>
      <c r="J48" s="16" t="s">
        <v>41</v>
      </c>
      <c r="K48" s="16" t="s">
        <v>42</v>
      </c>
      <c r="L48" s="16" t="s">
        <v>43</v>
      </c>
    </row>
    <row r="49" spans="1:12" ht="57.6" x14ac:dyDescent="0.3">
      <c r="A49" s="12">
        <v>1</v>
      </c>
      <c r="B49" s="16" t="s">
        <v>147</v>
      </c>
      <c r="C49" s="12" t="s">
        <v>148</v>
      </c>
      <c r="D49" s="12" t="s">
        <v>189</v>
      </c>
      <c r="E49" s="12" t="s">
        <v>161</v>
      </c>
      <c r="F49" s="12" t="s">
        <v>149</v>
      </c>
      <c r="G49" s="12" t="s">
        <v>150</v>
      </c>
      <c r="H49" s="12" t="s">
        <v>63</v>
      </c>
      <c r="I49" s="12" t="s">
        <v>165</v>
      </c>
      <c r="J49" s="12" t="s">
        <v>151</v>
      </c>
      <c r="K49" s="12" t="s">
        <v>105</v>
      </c>
      <c r="L49" s="12" t="s">
        <v>168</v>
      </c>
    </row>
    <row r="50" spans="1:12" ht="43.2" x14ac:dyDescent="0.3">
      <c r="A50" s="12">
        <v>2</v>
      </c>
      <c r="B50" s="16" t="s">
        <v>152</v>
      </c>
      <c r="C50" s="14" t="s">
        <v>203</v>
      </c>
      <c r="D50" s="12" t="s">
        <v>190</v>
      </c>
      <c r="E50" s="12" t="s">
        <v>162</v>
      </c>
      <c r="F50" s="12" t="s">
        <v>153</v>
      </c>
      <c r="G50" s="12" t="s">
        <v>163</v>
      </c>
      <c r="H50" s="12" t="s">
        <v>154</v>
      </c>
      <c r="I50" s="12" t="s">
        <v>166</v>
      </c>
      <c r="J50" s="12" t="s">
        <v>155</v>
      </c>
      <c r="K50" s="12" t="s">
        <v>206</v>
      </c>
      <c r="L50" s="12" t="s">
        <v>156</v>
      </c>
    </row>
    <row r="51" spans="1:12" ht="43.2" x14ac:dyDescent="0.3">
      <c r="A51" s="12">
        <v>3</v>
      </c>
      <c r="B51" s="16" t="s">
        <v>157</v>
      </c>
      <c r="C51" s="12" t="s">
        <v>158</v>
      </c>
      <c r="D51" s="12" t="s">
        <v>191</v>
      </c>
      <c r="E51" s="12" t="s">
        <v>132</v>
      </c>
      <c r="F51" s="12" t="s">
        <v>159</v>
      </c>
      <c r="G51" s="12" t="s">
        <v>164</v>
      </c>
      <c r="H51" s="12" t="s">
        <v>63</v>
      </c>
      <c r="I51" s="12" t="s">
        <v>167</v>
      </c>
      <c r="J51" s="12" t="s">
        <v>160</v>
      </c>
      <c r="K51" s="12" t="s">
        <v>160</v>
      </c>
      <c r="L51" s="12" t="s">
        <v>169</v>
      </c>
    </row>
    <row r="54" spans="1:12" x14ac:dyDescent="0.3">
      <c r="A54" t="s">
        <v>192</v>
      </c>
    </row>
    <row r="56" spans="1:12" x14ac:dyDescent="0.3">
      <c r="A56" s="9" t="s">
        <v>170</v>
      </c>
      <c r="B56" s="9" t="s">
        <v>196</v>
      </c>
      <c r="C56" s="9" t="s">
        <v>19</v>
      </c>
      <c r="D56" s="9" t="s">
        <v>20</v>
      </c>
      <c r="E56" s="9" t="s">
        <v>21</v>
      </c>
      <c r="F56" s="9" t="s">
        <v>22</v>
      </c>
      <c r="G56" s="9" t="s">
        <v>23</v>
      </c>
      <c r="H56" s="9" t="s">
        <v>24</v>
      </c>
      <c r="I56" s="9" t="s">
        <v>25</v>
      </c>
      <c r="J56" s="9" t="s">
        <v>26</v>
      </c>
      <c r="K56" s="9" t="s">
        <v>27</v>
      </c>
      <c r="L56" s="9" t="s">
        <v>28</v>
      </c>
    </row>
    <row r="57" spans="1:12" ht="57.6" x14ac:dyDescent="0.3">
      <c r="A57" s="9" t="s">
        <v>193</v>
      </c>
      <c r="B57" s="9" t="s">
        <v>197</v>
      </c>
      <c r="C57" s="12" t="s">
        <v>148</v>
      </c>
      <c r="D57" s="12" t="s">
        <v>189</v>
      </c>
      <c r="E57" s="12" t="s">
        <v>161</v>
      </c>
      <c r="F57" s="12" t="s">
        <v>149</v>
      </c>
      <c r="G57" s="12" t="s">
        <v>150</v>
      </c>
      <c r="H57" s="12" t="s">
        <v>63</v>
      </c>
      <c r="I57" s="12" t="s">
        <v>165</v>
      </c>
      <c r="J57" s="12" t="s">
        <v>151</v>
      </c>
      <c r="K57" s="12" t="s">
        <v>105</v>
      </c>
      <c r="L57" s="12" t="s">
        <v>168</v>
      </c>
    </row>
    <row r="58" spans="1:12" ht="43.2" x14ac:dyDescent="0.3">
      <c r="A58" s="9" t="s">
        <v>194</v>
      </c>
      <c r="B58" s="9" t="s">
        <v>198</v>
      </c>
      <c r="C58" s="14" t="s">
        <v>203</v>
      </c>
      <c r="D58" s="12" t="s">
        <v>190</v>
      </c>
      <c r="E58" s="12" t="s">
        <v>162</v>
      </c>
      <c r="F58" s="12" t="s">
        <v>153</v>
      </c>
      <c r="G58" s="12" t="s">
        <v>163</v>
      </c>
      <c r="H58" s="12" t="s">
        <v>154</v>
      </c>
      <c r="I58" s="12" t="s">
        <v>166</v>
      </c>
      <c r="J58" s="12" t="s">
        <v>155</v>
      </c>
      <c r="K58" s="12" t="s">
        <v>206</v>
      </c>
      <c r="L58" s="12" t="s">
        <v>156</v>
      </c>
    </row>
    <row r="59" spans="1:12" ht="43.2" x14ac:dyDescent="0.3">
      <c r="A59" s="9" t="s">
        <v>195</v>
      </c>
      <c r="B59" s="9" t="s">
        <v>199</v>
      </c>
      <c r="C59" s="12" t="s">
        <v>158</v>
      </c>
      <c r="D59" s="12" t="s">
        <v>191</v>
      </c>
      <c r="E59" s="12" t="s">
        <v>132</v>
      </c>
      <c r="F59" s="12" t="s">
        <v>159</v>
      </c>
      <c r="G59" s="12" t="s">
        <v>164</v>
      </c>
      <c r="H59" s="12" t="s">
        <v>63</v>
      </c>
      <c r="I59" s="12" t="s">
        <v>167</v>
      </c>
      <c r="J59" s="12" t="s">
        <v>160</v>
      </c>
      <c r="K59" s="12" t="s">
        <v>160</v>
      </c>
      <c r="L59" s="12" t="s">
        <v>169</v>
      </c>
    </row>
    <row r="63" spans="1:12" x14ac:dyDescent="0.3">
      <c r="A63" t="s">
        <v>207</v>
      </c>
    </row>
    <row r="65" spans="1:11" x14ac:dyDescent="0.3">
      <c r="A65" s="9" t="s">
        <v>208</v>
      </c>
      <c r="B65" s="9" t="s">
        <v>19</v>
      </c>
      <c r="C65" s="9" t="s">
        <v>20</v>
      </c>
      <c r="D65" s="9" t="s">
        <v>21</v>
      </c>
      <c r="E65" s="9" t="s">
        <v>22</v>
      </c>
      <c r="F65" s="9" t="s">
        <v>23</v>
      </c>
      <c r="G65" s="9" t="s">
        <v>24</v>
      </c>
      <c r="H65" s="9" t="s">
        <v>25</v>
      </c>
      <c r="I65" s="9" t="s">
        <v>26</v>
      </c>
      <c r="J65" s="9" t="s">
        <v>27</v>
      </c>
      <c r="K65" s="9" t="s">
        <v>28</v>
      </c>
    </row>
    <row r="66" spans="1:11" x14ac:dyDescent="0.3">
      <c r="A66" s="9" t="s">
        <v>193</v>
      </c>
      <c r="B66" s="9">
        <v>4</v>
      </c>
      <c r="C66" s="9">
        <v>4</v>
      </c>
      <c r="D66" s="9">
        <v>4</v>
      </c>
      <c r="E66" s="9">
        <v>4</v>
      </c>
      <c r="F66" s="9">
        <v>5</v>
      </c>
      <c r="G66" s="9">
        <v>5</v>
      </c>
      <c r="H66" s="9">
        <v>4</v>
      </c>
      <c r="I66" s="9">
        <v>2</v>
      </c>
      <c r="J66" s="9">
        <v>1</v>
      </c>
      <c r="K66" s="9">
        <v>2</v>
      </c>
    </row>
    <row r="67" spans="1:11" x14ac:dyDescent="0.3">
      <c r="A67" s="9" t="s">
        <v>194</v>
      </c>
      <c r="B67" s="9">
        <v>2</v>
      </c>
      <c r="C67" s="9">
        <v>3</v>
      </c>
      <c r="D67" s="9">
        <v>2</v>
      </c>
      <c r="E67" s="9">
        <v>4</v>
      </c>
      <c r="F67" s="9">
        <v>4</v>
      </c>
      <c r="G67" s="9">
        <v>3</v>
      </c>
      <c r="H67" s="9">
        <v>3</v>
      </c>
      <c r="I67" s="9">
        <v>1</v>
      </c>
      <c r="J67" s="9">
        <v>2</v>
      </c>
      <c r="K67" s="9">
        <v>1</v>
      </c>
    </row>
    <row r="68" spans="1:11" x14ac:dyDescent="0.3">
      <c r="A68" s="9" t="s">
        <v>195</v>
      </c>
      <c r="B68" s="9">
        <v>2</v>
      </c>
      <c r="C68" s="9">
        <v>4</v>
      </c>
      <c r="D68" s="9">
        <v>3</v>
      </c>
      <c r="E68" s="9">
        <v>3</v>
      </c>
      <c r="F68" s="9">
        <v>3</v>
      </c>
      <c r="G68" s="9">
        <v>5</v>
      </c>
      <c r="H68" s="9">
        <v>4</v>
      </c>
      <c r="I68" s="9">
        <v>3</v>
      </c>
      <c r="J68" s="9">
        <v>3</v>
      </c>
      <c r="K68" s="9">
        <v>3</v>
      </c>
    </row>
    <row r="70" spans="1:11" x14ac:dyDescent="0.3">
      <c r="A70" s="18" t="s">
        <v>212</v>
      </c>
    </row>
    <row r="73" spans="1:11" x14ac:dyDescent="0.3">
      <c r="A73" t="s">
        <v>213</v>
      </c>
      <c r="E73" t="s">
        <v>214</v>
      </c>
      <c r="I73" t="s">
        <v>215</v>
      </c>
    </row>
    <row r="74" spans="1:11" x14ac:dyDescent="0.3">
      <c r="A74" t="s">
        <v>193</v>
      </c>
      <c r="B74">
        <f>2/B66</f>
        <v>0.5</v>
      </c>
      <c r="E74" t="s">
        <v>193</v>
      </c>
      <c r="F74">
        <f>C66/4</f>
        <v>1</v>
      </c>
      <c r="I74" t="s">
        <v>193</v>
      </c>
      <c r="J74">
        <f>D66/4</f>
        <v>1</v>
      </c>
    </row>
    <row r="75" spans="1:11" x14ac:dyDescent="0.3">
      <c r="A75" t="s">
        <v>194</v>
      </c>
      <c r="B75">
        <f>2/B67</f>
        <v>1</v>
      </c>
      <c r="E75" t="s">
        <v>194</v>
      </c>
      <c r="F75">
        <f>C67/4</f>
        <v>0.75</v>
      </c>
      <c r="I75" t="s">
        <v>194</v>
      </c>
      <c r="J75">
        <f>D67/4</f>
        <v>0.5</v>
      </c>
    </row>
    <row r="76" spans="1:11" x14ac:dyDescent="0.3">
      <c r="A76" t="s">
        <v>195</v>
      </c>
      <c r="B76">
        <f t="shared" ref="B76" si="0">2/B68</f>
        <v>1</v>
      </c>
      <c r="E76" t="s">
        <v>195</v>
      </c>
      <c r="F76">
        <f t="shared" ref="F76" si="1">C68/4</f>
        <v>1</v>
      </c>
      <c r="I76" t="s">
        <v>195</v>
      </c>
      <c r="J76">
        <f>D68/4</f>
        <v>0.75</v>
      </c>
    </row>
    <row r="79" spans="1:11" x14ac:dyDescent="0.3">
      <c r="A79" t="s">
        <v>216</v>
      </c>
      <c r="E79" t="s">
        <v>217</v>
      </c>
      <c r="I79" t="s">
        <v>218</v>
      </c>
    </row>
    <row r="80" spans="1:11" x14ac:dyDescent="0.3">
      <c r="A80" t="s">
        <v>193</v>
      </c>
      <c r="B80">
        <f>3/E66</f>
        <v>0.75</v>
      </c>
      <c r="E80" t="s">
        <v>193</v>
      </c>
      <c r="F80">
        <f>F66/5</f>
        <v>1</v>
      </c>
      <c r="I80" t="s">
        <v>193</v>
      </c>
      <c r="J80">
        <f>3/G66</f>
        <v>0.6</v>
      </c>
    </row>
    <row r="81" spans="1:10" x14ac:dyDescent="0.3">
      <c r="A81" t="s">
        <v>194</v>
      </c>
      <c r="B81">
        <f>3/E67</f>
        <v>0.75</v>
      </c>
      <c r="E81" t="s">
        <v>194</v>
      </c>
      <c r="F81">
        <f>F67/5</f>
        <v>0.8</v>
      </c>
      <c r="I81" t="s">
        <v>194</v>
      </c>
      <c r="J81">
        <f>3/G67</f>
        <v>1</v>
      </c>
    </row>
    <row r="82" spans="1:10" x14ac:dyDescent="0.3">
      <c r="A82" t="s">
        <v>195</v>
      </c>
      <c r="B82">
        <f>3/E68</f>
        <v>1</v>
      </c>
      <c r="E82" t="s">
        <v>195</v>
      </c>
      <c r="F82">
        <f>F68/5</f>
        <v>0.6</v>
      </c>
      <c r="I82" t="s">
        <v>195</v>
      </c>
      <c r="J82">
        <f>3/G68</f>
        <v>0.6</v>
      </c>
    </row>
    <row r="85" spans="1:10" x14ac:dyDescent="0.3">
      <c r="A85" t="s">
        <v>219</v>
      </c>
      <c r="E85" t="s">
        <v>220</v>
      </c>
      <c r="I85" t="s">
        <v>221</v>
      </c>
    </row>
    <row r="86" spans="1:10" x14ac:dyDescent="0.3">
      <c r="A86" t="s">
        <v>193</v>
      </c>
      <c r="B86">
        <f>H66/4</f>
        <v>1</v>
      </c>
      <c r="E86" t="s">
        <v>193</v>
      </c>
      <c r="F86" s="19">
        <f>I66/3</f>
        <v>0.66666666666666663</v>
      </c>
      <c r="I86" t="s">
        <v>193</v>
      </c>
      <c r="J86" s="19">
        <f>J66/3</f>
        <v>0.33333333333333331</v>
      </c>
    </row>
    <row r="87" spans="1:10" x14ac:dyDescent="0.3">
      <c r="A87" t="s">
        <v>194</v>
      </c>
      <c r="B87">
        <f>H67/4</f>
        <v>0.75</v>
      </c>
      <c r="E87" t="s">
        <v>194</v>
      </c>
      <c r="F87" s="19">
        <f>I67/3</f>
        <v>0.33333333333333331</v>
      </c>
      <c r="I87" t="s">
        <v>194</v>
      </c>
      <c r="J87" s="19">
        <f>J67/3</f>
        <v>0.66666666666666663</v>
      </c>
    </row>
    <row r="88" spans="1:10" x14ac:dyDescent="0.3">
      <c r="A88" t="s">
        <v>195</v>
      </c>
      <c r="B88">
        <f>H68/4</f>
        <v>1</v>
      </c>
      <c r="E88" t="s">
        <v>195</v>
      </c>
      <c r="F88">
        <f>I68/3</f>
        <v>1</v>
      </c>
      <c r="I88" t="s">
        <v>195</v>
      </c>
      <c r="J88">
        <f t="shared" ref="J88" si="2">J68/3</f>
        <v>1</v>
      </c>
    </row>
    <row r="91" spans="1:10" x14ac:dyDescent="0.3">
      <c r="E91" t="s">
        <v>222</v>
      </c>
    </row>
    <row r="92" spans="1:10" x14ac:dyDescent="0.3">
      <c r="E92" t="s">
        <v>193</v>
      </c>
      <c r="F92" s="19">
        <f>K66/3</f>
        <v>0.66666666666666663</v>
      </c>
    </row>
    <row r="93" spans="1:10" x14ac:dyDescent="0.3">
      <c r="E93" t="s">
        <v>194</v>
      </c>
      <c r="F93" s="19">
        <f>K67/3</f>
        <v>0.33333333333333331</v>
      </c>
    </row>
    <row r="94" spans="1:10" x14ac:dyDescent="0.3">
      <c r="E94" t="s">
        <v>195</v>
      </c>
      <c r="F94">
        <f t="shared" ref="F94" si="3">K68/3</f>
        <v>1</v>
      </c>
    </row>
    <row r="98" spans="1:13" x14ac:dyDescent="0.3">
      <c r="A98" t="s">
        <v>223</v>
      </c>
    </row>
    <row r="100" spans="1:13" x14ac:dyDescent="0.3">
      <c r="A100" s="9" t="s">
        <v>208</v>
      </c>
      <c r="B100" s="9" t="s">
        <v>19</v>
      </c>
      <c r="C100" s="9" t="s">
        <v>20</v>
      </c>
      <c r="D100" s="9" t="s">
        <v>21</v>
      </c>
      <c r="E100" s="9" t="s">
        <v>22</v>
      </c>
      <c r="F100" s="9" t="s">
        <v>23</v>
      </c>
      <c r="G100" s="9" t="s">
        <v>24</v>
      </c>
      <c r="H100" s="9" t="s">
        <v>25</v>
      </c>
      <c r="I100" s="9" t="s">
        <v>26</v>
      </c>
      <c r="J100" s="9" t="s">
        <v>27</v>
      </c>
      <c r="K100" s="9" t="s">
        <v>28</v>
      </c>
    </row>
    <row r="101" spans="1:13" x14ac:dyDescent="0.3">
      <c r="A101" s="9" t="s">
        <v>193</v>
      </c>
      <c r="B101" s="9">
        <f>B74</f>
        <v>0.5</v>
      </c>
      <c r="C101" s="9">
        <f>F74</f>
        <v>1</v>
      </c>
      <c r="D101" s="9">
        <f>J74</f>
        <v>1</v>
      </c>
      <c r="E101" s="9">
        <f>B80</f>
        <v>0.75</v>
      </c>
      <c r="F101" s="9">
        <f>F80</f>
        <v>1</v>
      </c>
      <c r="G101" s="9">
        <f>J80</f>
        <v>0.6</v>
      </c>
      <c r="H101" s="9">
        <f>B86</f>
        <v>1</v>
      </c>
      <c r="I101" s="20">
        <f>F86</f>
        <v>0.66666666666666663</v>
      </c>
      <c r="J101" s="20">
        <f>J86</f>
        <v>0.33333333333333331</v>
      </c>
      <c r="K101" s="20">
        <f>F92</f>
        <v>0.66666666666666663</v>
      </c>
    </row>
    <row r="102" spans="1:13" x14ac:dyDescent="0.3">
      <c r="A102" s="9" t="s">
        <v>194</v>
      </c>
      <c r="B102" s="9">
        <f t="shared" ref="B102:B103" si="4">B75</f>
        <v>1</v>
      </c>
      <c r="C102" s="9">
        <f t="shared" ref="C102:C103" si="5">F75</f>
        <v>0.75</v>
      </c>
      <c r="D102" s="9">
        <f t="shared" ref="D102:D103" si="6">J75</f>
        <v>0.5</v>
      </c>
      <c r="E102" s="9">
        <f t="shared" ref="E102:E103" si="7">B81</f>
        <v>0.75</v>
      </c>
      <c r="F102" s="9">
        <f t="shared" ref="F102:F103" si="8">F81</f>
        <v>0.8</v>
      </c>
      <c r="G102" s="9">
        <f t="shared" ref="G102:G103" si="9">J81</f>
        <v>1</v>
      </c>
      <c r="H102" s="9">
        <f t="shared" ref="H102:H103" si="10">B87</f>
        <v>0.75</v>
      </c>
      <c r="I102" s="20">
        <f>F87</f>
        <v>0.33333333333333331</v>
      </c>
      <c r="J102" s="20">
        <f>J87</f>
        <v>0.66666666666666663</v>
      </c>
      <c r="K102" s="20">
        <f>F93</f>
        <v>0.33333333333333331</v>
      </c>
    </row>
    <row r="103" spans="1:13" x14ac:dyDescent="0.3">
      <c r="A103" s="9" t="s">
        <v>195</v>
      </c>
      <c r="B103" s="9">
        <f t="shared" si="4"/>
        <v>1</v>
      </c>
      <c r="C103" s="9">
        <f t="shared" si="5"/>
        <v>1</v>
      </c>
      <c r="D103" s="9">
        <f t="shared" si="6"/>
        <v>0.75</v>
      </c>
      <c r="E103" s="9">
        <f t="shared" si="7"/>
        <v>1</v>
      </c>
      <c r="F103" s="9">
        <f t="shared" si="8"/>
        <v>0.6</v>
      </c>
      <c r="G103" s="9">
        <f t="shared" si="9"/>
        <v>0.6</v>
      </c>
      <c r="H103" s="9">
        <f t="shared" si="10"/>
        <v>1</v>
      </c>
      <c r="I103" s="9">
        <f t="shared" ref="I103" si="11">F88</f>
        <v>1</v>
      </c>
      <c r="J103" s="9">
        <f t="shared" ref="J103" si="12">J88</f>
        <v>1</v>
      </c>
      <c r="K103" s="9">
        <f t="shared" ref="K103" si="13">F94</f>
        <v>1</v>
      </c>
    </row>
    <row r="107" spans="1:13" x14ac:dyDescent="0.3">
      <c r="A107" t="s">
        <v>224</v>
      </c>
    </row>
    <row r="109" spans="1:13" x14ac:dyDescent="0.3">
      <c r="A109" s="9" t="s">
        <v>208</v>
      </c>
      <c r="B109" s="9" t="s">
        <v>19</v>
      </c>
      <c r="C109" s="9" t="s">
        <v>20</v>
      </c>
      <c r="D109" s="9" t="s">
        <v>21</v>
      </c>
      <c r="E109" s="9" t="s">
        <v>22</v>
      </c>
      <c r="F109" s="9" t="s">
        <v>23</v>
      </c>
      <c r="G109" s="9" t="s">
        <v>24</v>
      </c>
      <c r="H109" s="9" t="s">
        <v>25</v>
      </c>
      <c r="I109" s="9" t="s">
        <v>26</v>
      </c>
      <c r="J109" s="9" t="s">
        <v>27</v>
      </c>
      <c r="K109" s="9" t="s">
        <v>28</v>
      </c>
      <c r="L109" s="9" t="s">
        <v>225</v>
      </c>
      <c r="M109" s="9" t="s">
        <v>226</v>
      </c>
    </row>
    <row r="110" spans="1:13" x14ac:dyDescent="0.3">
      <c r="A110" s="9" t="s">
        <v>193</v>
      </c>
      <c r="B110" s="9">
        <f>B101*C18</f>
        <v>9.1999999999999993</v>
      </c>
      <c r="C110" s="9">
        <f>C101*C19</f>
        <v>11.2</v>
      </c>
      <c r="D110" s="9">
        <f>D101*C20</f>
        <v>10.6</v>
      </c>
      <c r="E110" s="9">
        <f>E101*C21</f>
        <v>8.6999999999999993</v>
      </c>
      <c r="F110" s="9">
        <f>F101*C22</f>
        <v>14.2</v>
      </c>
      <c r="G110" s="9">
        <f>G101*C23</f>
        <v>4.32</v>
      </c>
      <c r="H110" s="9">
        <f>H101*C24</f>
        <v>7</v>
      </c>
      <c r="I110" s="9">
        <f>I101*C25</f>
        <v>4</v>
      </c>
      <c r="J110" s="20">
        <f>J101*C26</f>
        <v>2.333333333333333</v>
      </c>
      <c r="K110" s="20">
        <f>K101*C27</f>
        <v>4.5333333333333332</v>
      </c>
      <c r="L110" s="20">
        <f>SUM(B110:K110)</f>
        <v>76.086666666666659</v>
      </c>
      <c r="M110" s="9">
        <f>RANK(L110, $L$110:$L$112, 0)</f>
        <v>2</v>
      </c>
    </row>
    <row r="111" spans="1:13" x14ac:dyDescent="0.3">
      <c r="A111" s="9" t="s">
        <v>194</v>
      </c>
      <c r="B111" s="9">
        <f>B102*C18</f>
        <v>18.399999999999999</v>
      </c>
      <c r="C111" s="9">
        <f>C102*C19</f>
        <v>8.3999999999999986</v>
      </c>
      <c r="D111" s="9">
        <f>D102*C20</f>
        <v>5.3</v>
      </c>
      <c r="E111" s="9">
        <f>E102*C21</f>
        <v>8.6999999999999993</v>
      </c>
      <c r="F111" s="9">
        <f>F102*C22</f>
        <v>11.36</v>
      </c>
      <c r="G111" s="9">
        <f>G102*C23</f>
        <v>7.2</v>
      </c>
      <c r="H111" s="9">
        <f>H102*C24</f>
        <v>5.25</v>
      </c>
      <c r="I111" s="9">
        <f>I102*C25</f>
        <v>2</v>
      </c>
      <c r="J111" s="20">
        <f>J102*C26</f>
        <v>4.6666666666666661</v>
      </c>
      <c r="K111" s="20">
        <f>K102*C27</f>
        <v>2.2666666666666666</v>
      </c>
      <c r="L111" s="20">
        <f>SUM(B111:K111)</f>
        <v>73.543333333333337</v>
      </c>
      <c r="M111" s="9">
        <f t="shared" ref="M111:M112" si="14">RANK(L111, $L$110:$L$112, 0)</f>
        <v>3</v>
      </c>
    </row>
    <row r="112" spans="1:13" x14ac:dyDescent="0.3">
      <c r="A112" s="9" t="s">
        <v>195</v>
      </c>
      <c r="B112" s="9">
        <f>B103*C18</f>
        <v>18.399999999999999</v>
      </c>
      <c r="C112" s="9">
        <f>C103*C19</f>
        <v>11.2</v>
      </c>
      <c r="D112" s="9">
        <f>D103*C20</f>
        <v>7.9499999999999993</v>
      </c>
      <c r="E112" s="9">
        <f>E103*C21</f>
        <v>11.6</v>
      </c>
      <c r="F112" s="9">
        <f>F103*C22</f>
        <v>8.52</v>
      </c>
      <c r="G112" s="9">
        <f>G103*C23</f>
        <v>4.32</v>
      </c>
      <c r="H112" s="9">
        <f>H103*C24</f>
        <v>7</v>
      </c>
      <c r="I112" s="9">
        <f>I103*C25</f>
        <v>6</v>
      </c>
      <c r="J112" s="9">
        <f>J103*C26</f>
        <v>7</v>
      </c>
      <c r="K112" s="9">
        <f>K103*C27</f>
        <v>6.8</v>
      </c>
      <c r="L112" s="9">
        <f>SUM(B112:K112)</f>
        <v>88.79</v>
      </c>
      <c r="M112" s="9">
        <f t="shared" si="14"/>
        <v>1</v>
      </c>
    </row>
  </sheetData>
  <phoneticPr fontId="1" type="noConversion"/>
  <conditionalFormatting sqref="K49">
    <cfRule type="duplicateValues" dxfId="4" priority="3"/>
  </conditionalFormatting>
  <conditionalFormatting sqref="K50">
    <cfRule type="duplicateValues" dxfId="3" priority="1"/>
  </conditionalFormatting>
  <conditionalFormatting sqref="K57:K58"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87DC-8644-42C8-A7E5-56F463ADE935}">
  <dimension ref="A1:U112"/>
  <sheetViews>
    <sheetView topLeftCell="A93" zoomScale="88" workbookViewId="0">
      <selection activeCell="G101" sqref="G101"/>
    </sheetView>
  </sheetViews>
  <sheetFormatPr defaultRowHeight="14.4" x14ac:dyDescent="0.3"/>
  <cols>
    <col min="1" max="1" width="19.6640625" customWidth="1"/>
    <col min="2" max="2" width="18.77734375" customWidth="1"/>
    <col min="3" max="3" width="10.21875" customWidth="1"/>
    <col min="4" max="4" width="20.44140625" customWidth="1"/>
    <col min="6" max="6" width="27.44140625" customWidth="1"/>
    <col min="7" max="7" width="10.5546875" customWidth="1"/>
    <col min="8" max="8" width="11.109375" customWidth="1"/>
    <col min="9" max="9" width="14.44140625" customWidth="1"/>
    <col min="10" max="10" width="15.77734375" customWidth="1"/>
    <col min="11" max="11" width="13" customWidth="1"/>
    <col min="12" max="12" width="11.44140625" customWidth="1"/>
    <col min="14" max="14" width="20.21875" customWidth="1"/>
    <col min="18" max="18" width="17.44140625" customWidth="1"/>
  </cols>
  <sheetData>
    <row r="1" spans="1:21" x14ac:dyDescent="0.3">
      <c r="A1" t="s">
        <v>172</v>
      </c>
      <c r="E1" t="s">
        <v>187</v>
      </c>
      <c r="U1" t="s">
        <v>40</v>
      </c>
    </row>
    <row r="2" spans="1:21" x14ac:dyDescent="0.3">
      <c r="U2" t="s">
        <v>64</v>
      </c>
    </row>
    <row r="3" spans="1:21" x14ac:dyDescent="0.3">
      <c r="A3" s="9" t="s">
        <v>19</v>
      </c>
      <c r="B3" s="17" t="s">
        <v>0</v>
      </c>
      <c r="E3" t="s">
        <v>19</v>
      </c>
      <c r="F3" t="s">
        <v>30</v>
      </c>
      <c r="I3" t="s">
        <v>22</v>
      </c>
      <c r="J3" t="s">
        <v>3</v>
      </c>
      <c r="M3" t="s">
        <v>25</v>
      </c>
      <c r="N3" t="s">
        <v>40</v>
      </c>
      <c r="U3" t="s">
        <v>65</v>
      </c>
    </row>
    <row r="4" spans="1:21" x14ac:dyDescent="0.3">
      <c r="A4" s="9" t="s">
        <v>20</v>
      </c>
      <c r="B4" s="17" t="s">
        <v>1</v>
      </c>
      <c r="F4" t="s">
        <v>29</v>
      </c>
      <c r="G4" t="s">
        <v>11</v>
      </c>
      <c r="J4" t="s">
        <v>29</v>
      </c>
      <c r="K4" t="s">
        <v>11</v>
      </c>
      <c r="N4" t="s">
        <v>29</v>
      </c>
      <c r="O4" t="s">
        <v>11</v>
      </c>
      <c r="U4" t="s">
        <v>137</v>
      </c>
    </row>
    <row r="5" spans="1:21" x14ac:dyDescent="0.3">
      <c r="A5" s="9" t="s">
        <v>21</v>
      </c>
      <c r="B5" s="17" t="s">
        <v>2</v>
      </c>
      <c r="F5" t="s">
        <v>31</v>
      </c>
      <c r="G5">
        <v>1</v>
      </c>
      <c r="J5" t="s">
        <v>51</v>
      </c>
      <c r="K5">
        <v>1</v>
      </c>
      <c r="N5">
        <v>1</v>
      </c>
      <c r="O5">
        <v>1</v>
      </c>
      <c r="U5" t="s">
        <v>66</v>
      </c>
    </row>
    <row r="6" spans="1:21" x14ac:dyDescent="0.3">
      <c r="A6" s="9" t="s">
        <v>22</v>
      </c>
      <c r="B6" s="17" t="s">
        <v>3</v>
      </c>
      <c r="F6" t="s">
        <v>200</v>
      </c>
      <c r="G6">
        <v>2</v>
      </c>
      <c r="J6" t="s">
        <v>52</v>
      </c>
      <c r="K6">
        <v>2</v>
      </c>
      <c r="N6">
        <v>2</v>
      </c>
      <c r="O6">
        <v>2</v>
      </c>
      <c r="U6" t="s">
        <v>136</v>
      </c>
    </row>
    <row r="7" spans="1:21" x14ac:dyDescent="0.3">
      <c r="A7" s="9" t="s">
        <v>23</v>
      </c>
      <c r="B7" s="17" t="s">
        <v>4</v>
      </c>
      <c r="F7" t="s">
        <v>201</v>
      </c>
      <c r="G7">
        <v>3</v>
      </c>
      <c r="J7" t="s">
        <v>53</v>
      </c>
      <c r="K7">
        <v>3</v>
      </c>
      <c r="N7">
        <v>3</v>
      </c>
      <c r="O7">
        <v>3</v>
      </c>
    </row>
    <row r="8" spans="1:21" x14ac:dyDescent="0.3">
      <c r="A8" s="9" t="s">
        <v>24</v>
      </c>
      <c r="B8" s="17" t="s">
        <v>5</v>
      </c>
      <c r="F8" t="s">
        <v>202</v>
      </c>
      <c r="G8">
        <v>4</v>
      </c>
      <c r="J8" t="s">
        <v>54</v>
      </c>
      <c r="K8">
        <v>4</v>
      </c>
      <c r="N8">
        <v>4</v>
      </c>
      <c r="O8">
        <v>4</v>
      </c>
      <c r="U8" t="s">
        <v>1</v>
      </c>
    </row>
    <row r="9" spans="1:21" x14ac:dyDescent="0.3">
      <c r="A9" s="9" t="s">
        <v>25</v>
      </c>
      <c r="B9" s="17" t="s">
        <v>6</v>
      </c>
      <c r="F9" t="s">
        <v>35</v>
      </c>
      <c r="G9">
        <v>5</v>
      </c>
      <c r="J9" t="s">
        <v>55</v>
      </c>
      <c r="K9">
        <v>5</v>
      </c>
      <c r="N9">
        <v>5</v>
      </c>
      <c r="O9">
        <v>5</v>
      </c>
      <c r="U9" t="s">
        <v>134</v>
      </c>
    </row>
    <row r="10" spans="1:21" x14ac:dyDescent="0.3">
      <c r="A10" s="9" t="s">
        <v>26</v>
      </c>
      <c r="B10" s="17" t="s">
        <v>7</v>
      </c>
      <c r="U10" t="s">
        <v>72</v>
      </c>
    </row>
    <row r="11" spans="1:21" x14ac:dyDescent="0.3">
      <c r="A11" s="9" t="s">
        <v>27</v>
      </c>
      <c r="B11" s="17" t="s">
        <v>8</v>
      </c>
      <c r="E11" t="s">
        <v>20</v>
      </c>
      <c r="F11" s="1" t="s">
        <v>1</v>
      </c>
      <c r="I11" t="s">
        <v>23</v>
      </c>
      <c r="J11" t="s">
        <v>4</v>
      </c>
      <c r="M11" t="s">
        <v>26</v>
      </c>
      <c r="N11" t="s">
        <v>41</v>
      </c>
      <c r="Q11" t="s">
        <v>28</v>
      </c>
      <c r="R11" t="s">
        <v>43</v>
      </c>
      <c r="U11" t="s">
        <v>73</v>
      </c>
    </row>
    <row r="12" spans="1:21" x14ac:dyDescent="0.3">
      <c r="A12" s="9" t="s">
        <v>28</v>
      </c>
      <c r="B12" s="17" t="s">
        <v>9</v>
      </c>
      <c r="F12" t="s">
        <v>29</v>
      </c>
      <c r="G12" t="s">
        <v>11</v>
      </c>
      <c r="J12" t="s">
        <v>29</v>
      </c>
      <c r="K12" t="s">
        <v>11</v>
      </c>
      <c r="N12" t="s">
        <v>29</v>
      </c>
      <c r="O12" t="s">
        <v>11</v>
      </c>
      <c r="R12" t="s">
        <v>29</v>
      </c>
      <c r="S12" t="s">
        <v>11</v>
      </c>
      <c r="U12" t="s">
        <v>74</v>
      </c>
    </row>
    <row r="13" spans="1:21" x14ac:dyDescent="0.3">
      <c r="B13" s="15"/>
      <c r="F13" t="s">
        <v>140</v>
      </c>
      <c r="G13">
        <v>1</v>
      </c>
      <c r="J13" t="s">
        <v>56</v>
      </c>
      <c r="K13">
        <v>1</v>
      </c>
      <c r="N13" t="s">
        <v>205</v>
      </c>
      <c r="O13">
        <v>1</v>
      </c>
      <c r="R13" t="s">
        <v>68</v>
      </c>
      <c r="S13">
        <v>1</v>
      </c>
      <c r="U13" t="s">
        <v>75</v>
      </c>
    </row>
    <row r="14" spans="1:21" x14ac:dyDescent="0.3">
      <c r="B14" s="15"/>
      <c r="F14" t="s">
        <v>209</v>
      </c>
      <c r="G14">
        <v>2</v>
      </c>
      <c r="J14" t="s">
        <v>142</v>
      </c>
      <c r="K14">
        <v>2</v>
      </c>
      <c r="N14" t="s">
        <v>204</v>
      </c>
      <c r="O14">
        <v>2</v>
      </c>
      <c r="R14" t="s">
        <v>69</v>
      </c>
      <c r="S14">
        <v>2</v>
      </c>
      <c r="U14" t="s">
        <v>76</v>
      </c>
    </row>
    <row r="15" spans="1:21" x14ac:dyDescent="0.3">
      <c r="A15" s="18" t="s">
        <v>171</v>
      </c>
      <c r="B15" s="15"/>
      <c r="F15" t="s">
        <v>210</v>
      </c>
      <c r="G15">
        <v>3</v>
      </c>
      <c r="J15" t="s">
        <v>57</v>
      </c>
      <c r="K15">
        <v>3</v>
      </c>
      <c r="N15" t="s">
        <v>67</v>
      </c>
      <c r="O15">
        <v>3</v>
      </c>
      <c r="R15" t="s">
        <v>70</v>
      </c>
      <c r="S15">
        <v>3</v>
      </c>
      <c r="U15" t="s">
        <v>74</v>
      </c>
    </row>
    <row r="16" spans="1:21" x14ac:dyDescent="0.3">
      <c r="A16" s="9"/>
      <c r="B16" s="15"/>
      <c r="F16" t="s">
        <v>211</v>
      </c>
      <c r="G16">
        <v>4</v>
      </c>
      <c r="J16" t="s">
        <v>58</v>
      </c>
      <c r="K16">
        <v>4</v>
      </c>
      <c r="R16" t="s">
        <v>71</v>
      </c>
      <c r="S16">
        <v>4</v>
      </c>
      <c r="U16" t="s">
        <v>135</v>
      </c>
    </row>
    <row r="17" spans="1:21" ht="43.2" x14ac:dyDescent="0.3">
      <c r="A17" s="15" t="s">
        <v>173</v>
      </c>
      <c r="B17" s="15" t="s">
        <v>174</v>
      </c>
      <c r="C17" s="15" t="s">
        <v>11</v>
      </c>
      <c r="F17" t="s">
        <v>141</v>
      </c>
      <c r="G17">
        <v>5</v>
      </c>
      <c r="J17" s="3" t="s">
        <v>143</v>
      </c>
      <c r="K17">
        <v>5</v>
      </c>
      <c r="U17" t="s">
        <v>138</v>
      </c>
    </row>
    <row r="18" spans="1:21" x14ac:dyDescent="0.3">
      <c r="A18" s="9" t="s">
        <v>19</v>
      </c>
      <c r="B18" s="15" t="s">
        <v>175</v>
      </c>
      <c r="C18" s="15">
        <f>Ressponden!B2</f>
        <v>18.399999999999999</v>
      </c>
      <c r="M18" t="s">
        <v>27</v>
      </c>
      <c r="N18" t="s">
        <v>42</v>
      </c>
      <c r="U18" t="s">
        <v>139</v>
      </c>
    </row>
    <row r="19" spans="1:21" x14ac:dyDescent="0.3">
      <c r="A19" s="9" t="s">
        <v>20</v>
      </c>
      <c r="B19" s="15" t="s">
        <v>176</v>
      </c>
      <c r="C19" s="15">
        <f>Ressponden!B3</f>
        <v>11.2</v>
      </c>
      <c r="N19" t="s">
        <v>29</v>
      </c>
      <c r="O19" t="s">
        <v>11</v>
      </c>
    </row>
    <row r="20" spans="1:21" x14ac:dyDescent="0.3">
      <c r="A20" s="9" t="s">
        <v>21</v>
      </c>
      <c r="B20" s="15" t="s">
        <v>177</v>
      </c>
      <c r="C20" s="15">
        <f>Ressponden!B4</f>
        <v>10.6</v>
      </c>
      <c r="N20" t="s">
        <v>205</v>
      </c>
      <c r="O20">
        <v>1</v>
      </c>
    </row>
    <row r="21" spans="1:21" x14ac:dyDescent="0.3">
      <c r="A21" s="9" t="s">
        <v>22</v>
      </c>
      <c r="B21" s="15" t="s">
        <v>178</v>
      </c>
      <c r="C21" s="15">
        <f>Ressponden!B5</f>
        <v>11.6</v>
      </c>
      <c r="E21" t="s">
        <v>21</v>
      </c>
      <c r="F21" t="s">
        <v>2</v>
      </c>
      <c r="I21" t="s">
        <v>24</v>
      </c>
      <c r="J21" t="s">
        <v>5</v>
      </c>
      <c r="N21" t="s">
        <v>204</v>
      </c>
      <c r="O21">
        <v>2</v>
      </c>
    </row>
    <row r="22" spans="1:21" x14ac:dyDescent="0.3">
      <c r="A22" s="9" t="s">
        <v>23</v>
      </c>
      <c r="B22" s="15" t="s">
        <v>179</v>
      </c>
      <c r="C22" s="15">
        <f>Ressponden!B6</f>
        <v>14.2</v>
      </c>
      <c r="F22" t="s">
        <v>39</v>
      </c>
      <c r="G22" t="s">
        <v>11</v>
      </c>
      <c r="J22" t="s">
        <v>29</v>
      </c>
      <c r="K22" t="s">
        <v>11</v>
      </c>
      <c r="N22" t="s">
        <v>67</v>
      </c>
      <c r="O22">
        <v>3</v>
      </c>
    </row>
    <row r="23" spans="1:21" x14ac:dyDescent="0.3">
      <c r="A23" s="9" t="s">
        <v>24</v>
      </c>
      <c r="B23" s="15" t="s">
        <v>180</v>
      </c>
      <c r="C23" s="15">
        <f>Ressponden!B7</f>
        <v>7.2</v>
      </c>
      <c r="F23" t="s">
        <v>50</v>
      </c>
      <c r="G23">
        <v>1</v>
      </c>
      <c r="J23" t="s">
        <v>59</v>
      </c>
      <c r="K23">
        <v>1</v>
      </c>
    </row>
    <row r="24" spans="1:21" x14ac:dyDescent="0.3">
      <c r="A24" s="9" t="s">
        <v>25</v>
      </c>
      <c r="B24" s="15" t="s">
        <v>181</v>
      </c>
      <c r="C24" s="15">
        <f>Ressponden!B8</f>
        <v>7</v>
      </c>
      <c r="F24" t="s">
        <v>46</v>
      </c>
      <c r="G24">
        <v>2</v>
      </c>
      <c r="J24" t="s">
        <v>60</v>
      </c>
      <c r="K24">
        <v>2</v>
      </c>
    </row>
    <row r="25" spans="1:21" x14ac:dyDescent="0.3">
      <c r="A25" s="9" t="s">
        <v>26</v>
      </c>
      <c r="B25" s="15" t="s">
        <v>182</v>
      </c>
      <c r="C25" s="15">
        <f>Ressponden!B9</f>
        <v>6</v>
      </c>
      <c r="F25" t="s">
        <v>47</v>
      </c>
      <c r="G25">
        <v>3</v>
      </c>
      <c r="J25" t="s">
        <v>61</v>
      </c>
      <c r="K25">
        <v>3</v>
      </c>
    </row>
    <row r="26" spans="1:21" x14ac:dyDescent="0.3">
      <c r="A26" s="9" t="s">
        <v>27</v>
      </c>
      <c r="B26" s="15" t="s">
        <v>183</v>
      </c>
      <c r="C26" s="15">
        <f>Ressponden!B10</f>
        <v>7</v>
      </c>
      <c r="F26" t="s">
        <v>48</v>
      </c>
      <c r="G26">
        <v>4</v>
      </c>
      <c r="J26" t="s">
        <v>62</v>
      </c>
      <c r="K26">
        <v>4</v>
      </c>
    </row>
    <row r="27" spans="1:21" x14ac:dyDescent="0.3">
      <c r="A27" s="9" t="s">
        <v>28</v>
      </c>
      <c r="B27" s="15" t="s">
        <v>184</v>
      </c>
      <c r="C27" s="15">
        <f>Ressponden!B11</f>
        <v>6.8</v>
      </c>
      <c r="F27" t="s">
        <v>49</v>
      </c>
      <c r="G27">
        <v>5</v>
      </c>
      <c r="J27" t="s">
        <v>63</v>
      </c>
      <c r="K27">
        <v>5</v>
      </c>
    </row>
    <row r="28" spans="1:21" x14ac:dyDescent="0.3">
      <c r="A28" s="4"/>
      <c r="B28" s="4"/>
      <c r="C28" s="4">
        <f>Ressponden!B12</f>
        <v>100</v>
      </c>
    </row>
    <row r="30" spans="1:21" x14ac:dyDescent="0.3">
      <c r="A30" s="18" t="s">
        <v>185</v>
      </c>
    </row>
    <row r="32" spans="1:21" x14ac:dyDescent="0.3">
      <c r="A32" s="15" t="s">
        <v>173</v>
      </c>
      <c r="B32" s="9" t="s">
        <v>186</v>
      </c>
    </row>
    <row r="33" spans="1:12" x14ac:dyDescent="0.3">
      <c r="A33" s="9" t="s">
        <v>19</v>
      </c>
      <c r="B33" s="9" t="s">
        <v>37</v>
      </c>
    </row>
    <row r="34" spans="1:12" x14ac:dyDescent="0.3">
      <c r="A34" s="9" t="s">
        <v>20</v>
      </c>
      <c r="B34" s="9" t="s">
        <v>38</v>
      </c>
    </row>
    <row r="35" spans="1:12" x14ac:dyDescent="0.3">
      <c r="A35" s="9" t="s">
        <v>21</v>
      </c>
      <c r="B35" s="9" t="s">
        <v>38</v>
      </c>
    </row>
    <row r="36" spans="1:12" x14ac:dyDescent="0.3">
      <c r="A36" s="9" t="s">
        <v>22</v>
      </c>
      <c r="B36" s="9" t="s">
        <v>37</v>
      </c>
    </row>
    <row r="37" spans="1:12" x14ac:dyDescent="0.3">
      <c r="A37" s="9" t="s">
        <v>23</v>
      </c>
      <c r="B37" s="9" t="s">
        <v>38</v>
      </c>
    </row>
    <row r="38" spans="1:12" x14ac:dyDescent="0.3">
      <c r="A38" s="9" t="s">
        <v>24</v>
      </c>
      <c r="B38" s="9" t="s">
        <v>37</v>
      </c>
    </row>
    <row r="39" spans="1:12" x14ac:dyDescent="0.3">
      <c r="A39" s="9" t="s">
        <v>25</v>
      </c>
      <c r="B39" s="9" t="s">
        <v>38</v>
      </c>
    </row>
    <row r="40" spans="1:12" x14ac:dyDescent="0.3">
      <c r="A40" s="9" t="s">
        <v>26</v>
      </c>
      <c r="B40" s="9" t="s">
        <v>38</v>
      </c>
    </row>
    <row r="41" spans="1:12" x14ac:dyDescent="0.3">
      <c r="A41" s="9" t="s">
        <v>27</v>
      </c>
      <c r="B41" s="9" t="s">
        <v>38</v>
      </c>
    </row>
    <row r="42" spans="1:12" x14ac:dyDescent="0.3">
      <c r="A42" s="9" t="s">
        <v>28</v>
      </c>
      <c r="B42" s="9" t="s">
        <v>38</v>
      </c>
    </row>
    <row r="46" spans="1:12" x14ac:dyDescent="0.3">
      <c r="A46" s="9" t="s">
        <v>188</v>
      </c>
    </row>
    <row r="47" spans="1:12" x14ac:dyDescent="0.3">
      <c r="A47" s="18"/>
    </row>
    <row r="48" spans="1:12" ht="43.2" x14ac:dyDescent="0.3">
      <c r="A48" s="16" t="s">
        <v>77</v>
      </c>
      <c r="B48" s="16" t="s">
        <v>78</v>
      </c>
      <c r="C48" s="16" t="s">
        <v>144</v>
      </c>
      <c r="D48" s="16" t="s">
        <v>1</v>
      </c>
      <c r="E48" s="16" t="s">
        <v>145</v>
      </c>
      <c r="F48" s="16" t="s">
        <v>146</v>
      </c>
      <c r="G48" s="16" t="s">
        <v>4</v>
      </c>
      <c r="H48" s="16" t="s">
        <v>5</v>
      </c>
      <c r="I48" s="16" t="s">
        <v>40</v>
      </c>
      <c r="J48" s="16" t="s">
        <v>41</v>
      </c>
      <c r="K48" s="16" t="s">
        <v>42</v>
      </c>
      <c r="L48" s="16" t="s">
        <v>43</v>
      </c>
    </row>
    <row r="49" spans="1:12" x14ac:dyDescent="0.3">
      <c r="A49" s="12">
        <v>1</v>
      </c>
      <c r="B49" s="16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x14ac:dyDescent="0.3">
      <c r="A50" s="12">
        <v>2</v>
      </c>
      <c r="B50" s="16"/>
      <c r="C50" s="14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3">
      <c r="A51" s="12">
        <v>3</v>
      </c>
      <c r="B51" s="16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4" spans="1:12" x14ac:dyDescent="0.3">
      <c r="A54" t="s">
        <v>192</v>
      </c>
    </row>
    <row r="56" spans="1:12" x14ac:dyDescent="0.3">
      <c r="A56" s="9" t="s">
        <v>170</v>
      </c>
      <c r="B56" s="9" t="s">
        <v>196</v>
      </c>
      <c r="C56" s="9" t="s">
        <v>19</v>
      </c>
      <c r="D56" s="9" t="s">
        <v>20</v>
      </c>
      <c r="E56" s="9" t="s">
        <v>21</v>
      </c>
      <c r="F56" s="9" t="s">
        <v>22</v>
      </c>
      <c r="G56" s="9" t="s">
        <v>23</v>
      </c>
      <c r="H56" s="9" t="s">
        <v>24</v>
      </c>
      <c r="I56" s="9" t="s">
        <v>25</v>
      </c>
      <c r="J56" s="9" t="s">
        <v>26</v>
      </c>
      <c r="K56" s="9" t="s">
        <v>27</v>
      </c>
      <c r="L56" s="9" t="s">
        <v>28</v>
      </c>
    </row>
    <row r="57" spans="1:12" x14ac:dyDescent="0.3">
      <c r="A57" s="9" t="s">
        <v>193</v>
      </c>
      <c r="B57" s="9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x14ac:dyDescent="0.3">
      <c r="A58" s="9" t="s">
        <v>194</v>
      </c>
      <c r="B58" s="9"/>
      <c r="C58" s="14"/>
      <c r="D58" s="12"/>
      <c r="E58" s="12"/>
      <c r="F58" s="12"/>
      <c r="G58" s="12"/>
      <c r="H58" s="12"/>
      <c r="I58" s="12"/>
      <c r="J58" s="12"/>
      <c r="K58" s="12"/>
      <c r="L58" s="12"/>
    </row>
    <row r="59" spans="1:12" x14ac:dyDescent="0.3">
      <c r="A59" s="9" t="s">
        <v>195</v>
      </c>
      <c r="B59" s="9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3" spans="1:12" x14ac:dyDescent="0.3">
      <c r="A63" t="s">
        <v>207</v>
      </c>
    </row>
    <row r="65" spans="1:11" x14ac:dyDescent="0.3">
      <c r="A65" s="9" t="s">
        <v>208</v>
      </c>
      <c r="B65" s="9" t="s">
        <v>19</v>
      </c>
      <c r="C65" s="9" t="s">
        <v>20</v>
      </c>
      <c r="D65" s="9" t="s">
        <v>21</v>
      </c>
      <c r="E65" s="9" t="s">
        <v>22</v>
      </c>
      <c r="F65" s="9" t="s">
        <v>23</v>
      </c>
      <c r="G65" s="9" t="s">
        <v>24</v>
      </c>
      <c r="H65" s="9" t="s">
        <v>25</v>
      </c>
      <c r="I65" s="9" t="s">
        <v>26</v>
      </c>
      <c r="J65" s="9" t="s">
        <v>27</v>
      </c>
      <c r="K65" s="9" t="s">
        <v>28</v>
      </c>
    </row>
    <row r="66" spans="1:11" x14ac:dyDescent="0.3">
      <c r="A66" s="9" t="s">
        <v>193</v>
      </c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x14ac:dyDescent="0.3">
      <c r="A67" s="9" t="s">
        <v>194</v>
      </c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x14ac:dyDescent="0.3">
      <c r="A68" s="9" t="s">
        <v>195</v>
      </c>
      <c r="B68" s="9"/>
      <c r="C68" s="9"/>
      <c r="D68" s="9"/>
      <c r="E68" s="9"/>
      <c r="F68" s="9"/>
      <c r="G68" s="9"/>
      <c r="H68" s="9"/>
      <c r="I68" s="9"/>
      <c r="J68" s="9"/>
      <c r="K68" s="9"/>
    </row>
    <row r="70" spans="1:11" x14ac:dyDescent="0.3">
      <c r="A70" s="18" t="s">
        <v>212</v>
      </c>
    </row>
    <row r="73" spans="1:11" x14ac:dyDescent="0.3">
      <c r="A73" t="s">
        <v>213</v>
      </c>
      <c r="E73" t="s">
        <v>214</v>
      </c>
      <c r="I73" t="s">
        <v>215</v>
      </c>
    </row>
    <row r="74" spans="1:11" x14ac:dyDescent="0.3">
      <c r="A74" t="s">
        <v>193</v>
      </c>
      <c r="B74" t="e">
        <f>2/B66</f>
        <v>#DIV/0!</v>
      </c>
      <c r="E74" t="s">
        <v>193</v>
      </c>
      <c r="F74">
        <f>C66/4</f>
        <v>0</v>
      </c>
      <c r="I74" t="s">
        <v>193</v>
      </c>
      <c r="J74">
        <f>D66/4</f>
        <v>0</v>
      </c>
    </row>
    <row r="75" spans="1:11" x14ac:dyDescent="0.3">
      <c r="A75" t="s">
        <v>194</v>
      </c>
      <c r="B75" t="e">
        <f t="shared" ref="B75:B76" si="0">2/B67</f>
        <v>#DIV/0!</v>
      </c>
      <c r="E75" t="s">
        <v>194</v>
      </c>
      <c r="F75">
        <f t="shared" ref="F75:F76" si="1">C67/4</f>
        <v>0</v>
      </c>
      <c r="I75" t="s">
        <v>194</v>
      </c>
      <c r="J75">
        <f t="shared" ref="J75:J76" si="2">D67/4</f>
        <v>0</v>
      </c>
    </row>
    <row r="76" spans="1:11" x14ac:dyDescent="0.3">
      <c r="A76" t="s">
        <v>195</v>
      </c>
      <c r="B76" t="e">
        <f t="shared" si="0"/>
        <v>#DIV/0!</v>
      </c>
      <c r="E76" t="s">
        <v>195</v>
      </c>
      <c r="F76">
        <f t="shared" si="1"/>
        <v>0</v>
      </c>
      <c r="I76" t="s">
        <v>195</v>
      </c>
      <c r="J76">
        <f t="shared" si="2"/>
        <v>0</v>
      </c>
    </row>
    <row r="79" spans="1:11" x14ac:dyDescent="0.3">
      <c r="A79" t="s">
        <v>216</v>
      </c>
      <c r="E79" t="s">
        <v>217</v>
      </c>
      <c r="I79" t="s">
        <v>218</v>
      </c>
    </row>
    <row r="80" spans="1:11" x14ac:dyDescent="0.3">
      <c r="A80" t="s">
        <v>193</v>
      </c>
      <c r="B80" t="e">
        <f>3/E66</f>
        <v>#DIV/0!</v>
      </c>
      <c r="E80" t="s">
        <v>193</v>
      </c>
      <c r="F80">
        <f>F66/5</f>
        <v>0</v>
      </c>
      <c r="I80" t="s">
        <v>193</v>
      </c>
      <c r="J80" t="e">
        <f>3/G66</f>
        <v>#DIV/0!</v>
      </c>
    </row>
    <row r="81" spans="1:10" x14ac:dyDescent="0.3">
      <c r="A81" t="s">
        <v>194</v>
      </c>
      <c r="B81" t="e">
        <f t="shared" ref="B81:B82" si="3">3/E67</f>
        <v>#DIV/0!</v>
      </c>
      <c r="E81" t="s">
        <v>194</v>
      </c>
      <c r="F81">
        <f t="shared" ref="F81:F82" si="4">F67/5</f>
        <v>0</v>
      </c>
      <c r="I81" t="s">
        <v>194</v>
      </c>
      <c r="J81" t="e">
        <f t="shared" ref="J81:J82" si="5">3/G67</f>
        <v>#DIV/0!</v>
      </c>
    </row>
    <row r="82" spans="1:10" x14ac:dyDescent="0.3">
      <c r="A82" t="s">
        <v>195</v>
      </c>
      <c r="B82" t="e">
        <f t="shared" si="3"/>
        <v>#DIV/0!</v>
      </c>
      <c r="E82" t="s">
        <v>195</v>
      </c>
      <c r="F82">
        <f t="shared" si="4"/>
        <v>0</v>
      </c>
      <c r="I82" t="s">
        <v>195</v>
      </c>
      <c r="J82" t="e">
        <f t="shared" si="5"/>
        <v>#DIV/0!</v>
      </c>
    </row>
    <row r="85" spans="1:10" x14ac:dyDescent="0.3">
      <c r="A85" t="s">
        <v>219</v>
      </c>
      <c r="E85" t="s">
        <v>220</v>
      </c>
      <c r="I85" t="s">
        <v>221</v>
      </c>
    </row>
    <row r="86" spans="1:10" x14ac:dyDescent="0.3">
      <c r="A86" t="s">
        <v>193</v>
      </c>
      <c r="B86">
        <f>H66/4</f>
        <v>0</v>
      </c>
      <c r="E86" t="s">
        <v>193</v>
      </c>
      <c r="F86" s="19">
        <f>I66/3</f>
        <v>0</v>
      </c>
      <c r="I86" t="s">
        <v>193</v>
      </c>
      <c r="J86" s="19">
        <f>J66/3</f>
        <v>0</v>
      </c>
    </row>
    <row r="87" spans="1:10" x14ac:dyDescent="0.3">
      <c r="A87" t="s">
        <v>194</v>
      </c>
      <c r="B87">
        <f t="shared" ref="B87:B88" si="6">H67/4</f>
        <v>0</v>
      </c>
      <c r="E87" t="s">
        <v>194</v>
      </c>
      <c r="F87" s="19">
        <f>I67/3</f>
        <v>0</v>
      </c>
      <c r="I87" t="s">
        <v>194</v>
      </c>
      <c r="J87" s="19">
        <f>J67/3</f>
        <v>0</v>
      </c>
    </row>
    <row r="88" spans="1:10" x14ac:dyDescent="0.3">
      <c r="A88" t="s">
        <v>195</v>
      </c>
      <c r="B88">
        <f t="shared" si="6"/>
        <v>0</v>
      </c>
      <c r="E88" t="s">
        <v>195</v>
      </c>
      <c r="F88">
        <f t="shared" ref="F88" si="7">I68/3</f>
        <v>0</v>
      </c>
      <c r="I88" t="s">
        <v>195</v>
      </c>
      <c r="J88">
        <f t="shared" ref="J88" si="8">J68/3</f>
        <v>0</v>
      </c>
    </row>
    <row r="91" spans="1:10" x14ac:dyDescent="0.3">
      <c r="E91" t="s">
        <v>222</v>
      </c>
    </row>
    <row r="92" spans="1:10" x14ac:dyDescent="0.3">
      <c r="E92" t="s">
        <v>193</v>
      </c>
      <c r="F92" s="19">
        <f>K66/3</f>
        <v>0</v>
      </c>
    </row>
    <row r="93" spans="1:10" x14ac:dyDescent="0.3">
      <c r="E93" t="s">
        <v>194</v>
      </c>
      <c r="F93" s="19">
        <f>K67/3</f>
        <v>0</v>
      </c>
    </row>
    <row r="94" spans="1:10" x14ac:dyDescent="0.3">
      <c r="E94" t="s">
        <v>195</v>
      </c>
      <c r="F94">
        <f t="shared" ref="F94" si="9">K68/3</f>
        <v>0</v>
      </c>
    </row>
    <row r="98" spans="1:13" x14ac:dyDescent="0.3">
      <c r="A98" t="s">
        <v>223</v>
      </c>
    </row>
    <row r="100" spans="1:13" x14ac:dyDescent="0.3">
      <c r="A100" s="9" t="s">
        <v>208</v>
      </c>
      <c r="B100" s="9" t="s">
        <v>19</v>
      </c>
      <c r="C100" s="9" t="s">
        <v>20</v>
      </c>
      <c r="D100" s="9" t="s">
        <v>21</v>
      </c>
      <c r="E100" s="9" t="s">
        <v>22</v>
      </c>
      <c r="F100" s="9" t="s">
        <v>23</v>
      </c>
      <c r="G100" s="9" t="s">
        <v>24</v>
      </c>
      <c r="H100" s="9" t="s">
        <v>25</v>
      </c>
      <c r="I100" s="9" t="s">
        <v>26</v>
      </c>
      <c r="J100" s="9" t="s">
        <v>27</v>
      </c>
      <c r="K100" s="9" t="s">
        <v>28</v>
      </c>
    </row>
    <row r="101" spans="1:13" x14ac:dyDescent="0.3">
      <c r="A101" s="9" t="s">
        <v>193</v>
      </c>
      <c r="B101" s="9" t="e">
        <f>B74</f>
        <v>#DIV/0!</v>
      </c>
      <c r="C101" s="9">
        <f>F74</f>
        <v>0</v>
      </c>
      <c r="D101" s="9">
        <f>J74</f>
        <v>0</v>
      </c>
      <c r="E101" s="9" t="e">
        <f>B80</f>
        <v>#DIV/0!</v>
      </c>
      <c r="F101" s="9">
        <f>F80</f>
        <v>0</v>
      </c>
      <c r="G101" s="9" t="e">
        <f>J80</f>
        <v>#DIV/0!</v>
      </c>
      <c r="H101" s="9">
        <f>B86</f>
        <v>0</v>
      </c>
      <c r="I101" s="20">
        <f>F86</f>
        <v>0</v>
      </c>
      <c r="J101" s="20">
        <f>J86</f>
        <v>0</v>
      </c>
      <c r="K101" s="20">
        <f>F92</f>
        <v>0</v>
      </c>
    </row>
    <row r="102" spans="1:13" x14ac:dyDescent="0.3">
      <c r="A102" s="9" t="s">
        <v>194</v>
      </c>
      <c r="B102" s="9" t="e">
        <f t="shared" ref="B102:B103" si="10">B75</f>
        <v>#DIV/0!</v>
      </c>
      <c r="C102" s="9">
        <f t="shared" ref="C102:C103" si="11">F75</f>
        <v>0</v>
      </c>
      <c r="D102" s="9">
        <f t="shared" ref="D102:D103" si="12">J75</f>
        <v>0</v>
      </c>
      <c r="E102" s="9" t="e">
        <f t="shared" ref="E102:E103" si="13">B81</f>
        <v>#DIV/0!</v>
      </c>
      <c r="F102" s="9">
        <f t="shared" ref="F102:F103" si="14">F81</f>
        <v>0</v>
      </c>
      <c r="G102" s="9" t="e">
        <f t="shared" ref="G102:G103" si="15">J81</f>
        <v>#DIV/0!</v>
      </c>
      <c r="H102" s="9">
        <f t="shared" ref="H102:H103" si="16">B87</f>
        <v>0</v>
      </c>
      <c r="I102" s="20">
        <f>F87</f>
        <v>0</v>
      </c>
      <c r="J102" s="20">
        <f>J87</f>
        <v>0</v>
      </c>
      <c r="K102" s="20">
        <f>F93</f>
        <v>0</v>
      </c>
    </row>
    <row r="103" spans="1:13" x14ac:dyDescent="0.3">
      <c r="A103" s="9" t="s">
        <v>195</v>
      </c>
      <c r="B103" s="9" t="e">
        <f t="shared" si="10"/>
        <v>#DIV/0!</v>
      </c>
      <c r="C103" s="9">
        <f t="shared" si="11"/>
        <v>0</v>
      </c>
      <c r="D103" s="9">
        <f t="shared" si="12"/>
        <v>0</v>
      </c>
      <c r="E103" s="9" t="e">
        <f t="shared" si="13"/>
        <v>#DIV/0!</v>
      </c>
      <c r="F103" s="9">
        <f t="shared" si="14"/>
        <v>0</v>
      </c>
      <c r="G103" s="9" t="e">
        <f t="shared" si="15"/>
        <v>#DIV/0!</v>
      </c>
      <c r="H103" s="9">
        <f t="shared" si="16"/>
        <v>0</v>
      </c>
      <c r="I103" s="9">
        <f t="shared" ref="I103" si="17">F88</f>
        <v>0</v>
      </c>
      <c r="J103" s="9">
        <f t="shared" ref="J103" si="18">J88</f>
        <v>0</v>
      </c>
      <c r="K103" s="9">
        <f t="shared" ref="K103" si="19">F94</f>
        <v>0</v>
      </c>
    </row>
    <row r="107" spans="1:13" x14ac:dyDescent="0.3">
      <c r="A107" t="s">
        <v>224</v>
      </c>
    </row>
    <row r="109" spans="1:13" x14ac:dyDescent="0.3">
      <c r="A109" s="9" t="s">
        <v>208</v>
      </c>
      <c r="B109" s="9" t="s">
        <v>19</v>
      </c>
      <c r="C109" s="9" t="s">
        <v>20</v>
      </c>
      <c r="D109" s="9" t="s">
        <v>21</v>
      </c>
      <c r="E109" s="9" t="s">
        <v>22</v>
      </c>
      <c r="F109" s="9" t="s">
        <v>23</v>
      </c>
      <c r="G109" s="9" t="s">
        <v>24</v>
      </c>
      <c r="H109" s="9" t="s">
        <v>25</v>
      </c>
      <c r="I109" s="9" t="s">
        <v>26</v>
      </c>
      <c r="J109" s="9" t="s">
        <v>27</v>
      </c>
      <c r="K109" s="9" t="s">
        <v>28</v>
      </c>
      <c r="L109" s="9" t="s">
        <v>225</v>
      </c>
      <c r="M109" s="9" t="s">
        <v>226</v>
      </c>
    </row>
    <row r="110" spans="1:13" x14ac:dyDescent="0.3">
      <c r="A110" s="9" t="s">
        <v>193</v>
      </c>
      <c r="B110" s="9" t="e">
        <f>B101*C18</f>
        <v>#DIV/0!</v>
      </c>
      <c r="C110" s="9">
        <f>C101*C19</f>
        <v>0</v>
      </c>
      <c r="D110" s="9">
        <f>D101*C20</f>
        <v>0</v>
      </c>
      <c r="E110" s="9" t="e">
        <f>E101*C21</f>
        <v>#DIV/0!</v>
      </c>
      <c r="F110" s="9">
        <f>F101*C22</f>
        <v>0</v>
      </c>
      <c r="G110" s="9" t="e">
        <f>G101*C23</f>
        <v>#DIV/0!</v>
      </c>
      <c r="H110" s="9">
        <f>H101*C24</f>
        <v>0</v>
      </c>
      <c r="I110" s="9">
        <f>I101*C25</f>
        <v>0</v>
      </c>
      <c r="J110" s="20">
        <f>J101*C26</f>
        <v>0</v>
      </c>
      <c r="K110" s="20">
        <f>K101*C27</f>
        <v>0</v>
      </c>
      <c r="L110" s="20" t="e">
        <f>SUM(B110:K110)</f>
        <v>#DIV/0!</v>
      </c>
      <c r="M110" s="9" t="e">
        <f>RANK(L110, $L$110:$L$112, 0)</f>
        <v>#DIV/0!</v>
      </c>
    </row>
    <row r="111" spans="1:13" x14ac:dyDescent="0.3">
      <c r="A111" s="9" t="s">
        <v>194</v>
      </c>
      <c r="B111" s="9" t="e">
        <f>B102*C18</f>
        <v>#DIV/0!</v>
      </c>
      <c r="C111" s="9">
        <f>C102*C19</f>
        <v>0</v>
      </c>
      <c r="D111" s="9">
        <f>D102*C20</f>
        <v>0</v>
      </c>
      <c r="E111" s="9" t="e">
        <f>E102*C21</f>
        <v>#DIV/0!</v>
      </c>
      <c r="F111" s="9">
        <f>F102*C22</f>
        <v>0</v>
      </c>
      <c r="G111" s="9" t="e">
        <f>G102*C23</f>
        <v>#DIV/0!</v>
      </c>
      <c r="H111" s="9">
        <f>H102*C24</f>
        <v>0</v>
      </c>
      <c r="I111" s="9">
        <f>I102*C25</f>
        <v>0</v>
      </c>
      <c r="J111" s="20">
        <f>J102*C26</f>
        <v>0</v>
      </c>
      <c r="K111" s="20">
        <f>K102*C27</f>
        <v>0</v>
      </c>
      <c r="L111" s="20" t="e">
        <f>SUM(B111:K111)</f>
        <v>#DIV/0!</v>
      </c>
      <c r="M111" s="9" t="e">
        <f t="shared" ref="M111:M112" si="20">RANK(L111, $L$110:$L$112, 0)</f>
        <v>#DIV/0!</v>
      </c>
    </row>
    <row r="112" spans="1:13" x14ac:dyDescent="0.3">
      <c r="A112" s="9" t="s">
        <v>195</v>
      </c>
      <c r="B112" s="9" t="e">
        <f>B103*C18</f>
        <v>#DIV/0!</v>
      </c>
      <c r="C112" s="9">
        <f>C103*C19</f>
        <v>0</v>
      </c>
      <c r="D112" s="9">
        <f>D103*C20</f>
        <v>0</v>
      </c>
      <c r="E112" s="9" t="e">
        <f>E103*C21</f>
        <v>#DIV/0!</v>
      </c>
      <c r="F112" s="9">
        <f>F103*C22</f>
        <v>0</v>
      </c>
      <c r="G112" s="9" t="e">
        <f>G103*C23</f>
        <v>#DIV/0!</v>
      </c>
      <c r="H112" s="9">
        <f>H103*C24</f>
        <v>0</v>
      </c>
      <c r="I112" s="9">
        <f>I103*C25</f>
        <v>0</v>
      </c>
      <c r="J112" s="9">
        <f>J103*C26</f>
        <v>0</v>
      </c>
      <c r="K112" s="9">
        <f>K103*C27</f>
        <v>0</v>
      </c>
      <c r="L112" s="9" t="e">
        <f>SUM(B112:K112)</f>
        <v>#DIV/0!</v>
      </c>
      <c r="M112" s="9" t="e">
        <f t="shared" si="20"/>
        <v>#DIV/0!</v>
      </c>
    </row>
  </sheetData>
  <conditionalFormatting sqref="K49:K51">
    <cfRule type="duplicateValues" dxfId="1" priority="2"/>
  </conditionalFormatting>
  <conditionalFormatting sqref="K57:K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Kost</vt:lpstr>
      <vt:lpstr>Ressponden</vt:lpstr>
      <vt:lpstr>Bobot Kriteria</vt:lpstr>
      <vt:lpstr>Studi Kasus</vt:lpstr>
      <vt:lpstr>Hasil Bab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RAFAIDHIL</dc:creator>
  <cp:lastModifiedBy>REYHAN RAFAIDHIL</cp:lastModifiedBy>
  <dcterms:created xsi:type="dcterms:W3CDTF">2025-11-07T05:05:55Z</dcterms:created>
  <dcterms:modified xsi:type="dcterms:W3CDTF">2025-11-09T11:54:22Z</dcterms:modified>
</cp:coreProperties>
</file>