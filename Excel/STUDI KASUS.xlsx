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D6C1B7CC-850D-4E49-8298-1A4C3F6EAEBA}" xr6:coauthVersionLast="47" xr6:coauthVersionMax="47" xr10:uidLastSave="{00000000-0000-0000-0000-000000000000}"/>
  <bookViews>
    <workbookView xWindow="-108" yWindow="-108" windowWidth="23256" windowHeight="12456" tabRatio="691" activeTab="1" xr2:uid="{901D0503-6946-40CA-8D36-37B156763246}"/>
  </bookViews>
  <sheets>
    <sheet name="Kost" sheetId="3" r:id="rId1"/>
    <sheet name="kost rapi" sheetId="11" r:id="rId2"/>
    <sheet name="Studi Kasus for me" sheetId="4" r:id="rId3"/>
    <sheet name="Studi Kasus for jurnal" sheetId="8" r:id="rId4"/>
    <sheet name="Ressponde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6" i="4" l="1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8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M171" i="4" l="1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Z174" i="4" l="1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S189" i="4" l="1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<sst xmlns="http://schemas.openxmlformats.org/spreadsheetml/2006/main" count="1654" uniqueCount="495">
  <si>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</si>
  <si>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</si>
  <si>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</si>
  <si>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</si>
  <si>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</si>
  <si>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</si>
  <si>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</si>
  <si>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</si>
  <si>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</si>
  <si>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</si>
  <si>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</si>
  <si>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</si>
  <si>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</si>
  <si>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</si>
  <si>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</si>
  <si>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</si>
  <si>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</si>
  <si>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</si>
  <si>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</si>
  <si>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</si>
  <si>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</si>
  <si>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</si>
  <si>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</si>
  <si>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</si>
  <si>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</si>
  <si>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</si>
  <si>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</si>
  <si>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</si>
  <si>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</si>
  <si>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</si>
  <si>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</si>
  <si>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</si>
  <si>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</si>
  <si>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</si>
  <si>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</si>
  <si>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</si>
  <si>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</si>
  <si>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</si>
  <si>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</si>
  <si>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</si>
  <si>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</si>
  <si>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</si>
  <si>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</si>
  <si>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</si>
  <si>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</si>
  <si>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</si>
  <si>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</si>
  <si>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</si>
  <si>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</si>
  <si>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</si>
  <si>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</si>
  <si>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</si>
  <si>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</si>
  <si>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</si>
  <si>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</si>
  <si>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</si>
  <si>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</si>
  <si>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</si>
  <si>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</si>
  <si>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</si>
  <si>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</si>
  <si>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</si>
  <si>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</si>
  <si>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</si>
  <si>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</si>
  <si>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</si>
  <si>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</si>
  <si>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</si>
  <si>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</si>
  <si>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</si>
  <si>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</si>
  <si>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</si>
  <si>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</si>
  <si>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</si>
  <si>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</si>
  <si>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</si>
  <si>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</si>
  <si>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</si>
  <si>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</si>
  <si>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</si>
  <si>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</si>
  <si>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</si>
  <si>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</si>
  <si>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</si>
  <si>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</si>
  <si>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</si>
  <si>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</si>
  <si>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</si>
  <si>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</si>
  <si>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</si>
  <si>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</si>
  <si>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</si>
  <si>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</si>
  <si>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</si>
  <si>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</si>
  <si>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</si>
  <si>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</si>
  <si>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</si>
  <si>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</si>
  <si>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</si>
  <si>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</si>
  <si>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</si>
  <si>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</si>
  <si>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</si>
  <si>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</si>
  <si>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</si>
  <si>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</si>
  <si>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</si>
  <si>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</si>
  <si>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</si>
  <si>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</si>
  <si>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</si>
  <si>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</si>
  <si>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</si>
  <si>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</si>
  <si>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</si>
  <si>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</si>
  <si>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</si>
  <si>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</si>
  <si>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</si>
  <si>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</si>
  <si>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</si>
  <si>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</si>
  <si>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</si>
  <si>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</si>
  <si>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</si>
  <si>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</si>
  <si>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</si>
  <si>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</si>
  <si>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</si>
  <si>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</si>
  <si>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</si>
  <si>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</si>
  <si>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</si>
  <si>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</si>
  <si>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</si>
  <si>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</si>
  <si>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</si>
  <si>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</si>
  <si>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</si>
  <si>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</si>
  <si>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</si>
  <si>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</si>
  <si>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</si>
  <si>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</si>
  <si>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</si>
  <si>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</si>
  <si>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</si>
  <si>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</si>
  <si>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</si>
  <si>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</si>
  <si>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</si>
  <si>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</si>
  <si>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</si>
  <si>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</si>
  <si>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</si>
  <si>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</si>
  <si>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</si>
  <si>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</si>
  <si>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</si>
  <si>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</si>
  <si>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</si>
  <si>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</si>
  <si>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</si>
  <si>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</si>
  <si>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</si>
  <si>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</si>
  <si>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</si>
  <si>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</si>
  <si>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</si>
  <si>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</si>
  <si>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</si>
  <si>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</si>
  <si>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</si>
  <si>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</si>
  <si>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</si>
  <si>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</si>
  <si>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</si>
  <si>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</si>
  <si>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</si>
  <si>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</si>
  <si>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</si>
  <si>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</si>
  <si>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</si>
  <si>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</si>
  <si>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</si>
  <si>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</si>
  <si>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</si>
  <si>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</si>
  <si>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</si>
  <si>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</si>
  <si>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</si>
  <si>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</si>
  <si>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</si>
  <si>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</si>
  <si>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</si>
  <si>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</si>
  <si>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</si>
  <si>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</si>
  <si>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</si>
  <si>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</si>
  <si>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</si>
  <si>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</si>
  <si>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</si>
  <si>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</si>
  <si>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</si>
  <si>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</si>
  <si>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</si>
  <si>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</si>
  <si>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</si>
  <si>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</si>
  <si>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</si>
  <si>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</si>
  <si>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</si>
  <si>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</si>
  <si>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</si>
  <si>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</si>
  <si>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</si>
  <si>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</si>
  <si>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</si>
  <si>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</si>
  <si>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</si>
  <si>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</si>
  <si>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</si>
  <si>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</si>
  <si>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</si>
  <si>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</si>
  <si>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</si>
  <si>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</si>
  <si>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</si>
  <si>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</si>
  <si>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</si>
  <si>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</si>
  <si>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</si>
  <si>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</si>
  <si>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</si>
  <si>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</si>
  <si>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</si>
  <si>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</si>
  <si>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</si>
  <si>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</si>
  <si>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</si>
  <si>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</si>
  <si>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</si>
  <si>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</si>
  <si>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</si>
  <si>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</si>
  <si>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</si>
  <si>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</si>
  <si>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</si>
  <si>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</si>
  <si>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</si>
  <si>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</si>
  <si>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</si>
  <si>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</si>
  <si>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</si>
  <si>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</si>
  <si>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</si>
  <si>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</si>
  <si>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</si>
  <si>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</si>
  <si>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</si>
  <si>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</si>
  <si>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</si>
  <si>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</si>
  <si>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</si>
  <si>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</si>
  <si>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</si>
  <si>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</si>
  <si>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</si>
  <si>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</si>
  <si>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</si>
  <si>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</si>
  <si>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</si>
  <si>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</si>
  <si>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</si>
  <si>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</si>
  <si>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</si>
  <si>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</si>
  <si>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</si>
  <si>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</si>
  <si>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</si>
  <si>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</si>
  <si>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</si>
  <si>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</si>
  <si>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</si>
  <si>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</si>
  <si>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</si>
  <si>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</si>
  <si>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</si>
  <si>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</si>
  <si>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</si>
  <si>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</si>
  <si>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</si>
  <si>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</si>
  <si>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</si>
  <si>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</si>
  <si>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</si>
  <si>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</si>
  <si>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</si>
  <si>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</si>
  <si>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</si>
  <si>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</si>
  <si>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</si>
  <si>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</si>
  <si>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</si>
  <si>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</si>
  <si>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</si>
  <si>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</si>
  <si>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</si>
  <si>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</si>
  <si>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</si>
  <si>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</si>
  <si>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 xml:space="preserve">Spring Bed, Kipas, Lemari, Meja, Wc Dalam,
Dapur Dalam, AC, Wifi, Tempat parkir         </t>
  </si>
  <si>
    <t>Spring Bed,
Lemari, tempat parkir</t>
  </si>
  <si>
    <t>Spring bed, lemari, meja,  ac, tempat parkir</t>
  </si>
  <si>
    <t>Ac, spring bed, lemari, wc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</si>
  <si>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</si>
  <si>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</si>
  <si>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</si>
  <si>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</si>
  <si>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</si>
  <si>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</si>
  <si>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</si>
  <si>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</si>
  <si>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</si>
  <si>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</si>
  <si>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</si>
  <si>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</si>
  <si>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</si>
  <si>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</si>
  <si>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</si>
  <si>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</si>
  <si>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</si>
  <si>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</si>
  <si>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</si>
  <si>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</si>
  <si>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</si>
  <si>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</si>
  <si>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</si>
  <si>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</si>
  <si>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</si>
  <si>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</si>
  <si>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</si>
  <si>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</si>
  <si>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</si>
  <si>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</si>
  <si>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</si>
  <si>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</si>
  <si>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</si>
  <si>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</si>
  <si>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</si>
  <si>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</si>
  <si>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</si>
  <si>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</si>
  <si>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</si>
  <si>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</si>
  <si>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</si>
  <si>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</si>
  <si>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</si>
  <si>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</si>
  <si>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</si>
  <si>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</si>
  <si>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</si>
  <si>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</si>
  <si>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</si>
  <si>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</si>
  <si>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</si>
  <si>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</si>
  <si>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</si>
  <si>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</si>
  <si>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</si>
  <si>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</si>
  <si>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</si>
  <si>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</si>
  <si>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</si>
  <si>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</si>
  <si>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</si>
  <si>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</si>
  <si>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</si>
  <si>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</si>
  <si>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</si>
  <si>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</si>
  <si>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</si>
  <si>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</si>
  <si>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</si>
  <si>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</si>
  <si>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</si>
  <si>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</si>
  <si>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</si>
  <si>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</si>
  <si>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</si>
  <si>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</si>
  <si>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</si>
  <si>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</si>
  <si>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</si>
  <si>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</si>
  <si>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</si>
  <si>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</si>
  <si>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</si>
  <si>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</si>
  <si>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</si>
  <si>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</si>
  <si>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</si>
  <si>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</si>
  <si>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</si>
  <si>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</si>
  <si>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</si>
  <si>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</si>
  <si>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</si>
  <si>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</si>
  <si>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</si>
  <si>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</si>
  <si>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</si>
  <si>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</si>
  <si>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</si>
  <si>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</si>
  <si>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</si>
  <si>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</si>
  <si>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</si>
  <si>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</si>
  <si>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</si>
  <si>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</si>
  <si>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</si>
  <si>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</si>
  <si>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</si>
  <si>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</si>
  <si>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</si>
  <si>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</si>
  <si>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</si>
  <si>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</si>
  <si>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</si>
  <si>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</si>
  <si>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</si>
  <si>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</si>
  <si>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 xml:space="preserve">Spring Bed,Kipas,
Lemari, Meja,
Wc Dalam,
Dapur Dalam,Wifi, tempat parkir         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</si>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</sst>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0"/>
    <numFmt numFmtId="167" formatCode="0.0000"/>
  </numFmts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4" zoomScale="93" workbookViewId="0">
      <selection activeCell="H24" sqref="H24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381</v>
      </c>
      <c r="D13" s="9" t="s">
        <v>385</v>
      </c>
      <c r="E13" s="9" t="s">
        <v>382</v>
      </c>
      <c r="F13" s="2" t="s">
        <v>386</v>
      </c>
      <c r="G13" s="9" t="s">
        <v>383</v>
      </c>
      <c r="H13" s="2" t="s">
        <v>390</v>
      </c>
      <c r="I13" s="3" t="s">
        <v>392</v>
      </c>
      <c r="J13" s="9" t="s">
        <v>135</v>
      </c>
      <c r="K13" s="7" t="s">
        <v>71</v>
      </c>
      <c r="L13" s="9" t="s">
        <v>240</v>
      </c>
      <c r="M13" s="5" t="s">
        <v>384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388</v>
      </c>
      <c r="D14" s="9" t="s">
        <v>387</v>
      </c>
      <c r="E14" s="9" t="s">
        <v>389</v>
      </c>
      <c r="F14" s="2" t="s">
        <v>438</v>
      </c>
      <c r="G14" s="9" t="s">
        <v>93</v>
      </c>
      <c r="H14" s="2" t="s">
        <v>391</v>
      </c>
      <c r="I14" s="3" t="s">
        <v>407</v>
      </c>
      <c r="J14" s="9" t="s">
        <v>135</v>
      </c>
      <c r="K14" s="7" t="s">
        <v>393</v>
      </c>
      <c r="L14" s="9" t="s">
        <v>240</v>
      </c>
      <c r="M14" s="5" t="s">
        <v>384</v>
      </c>
      <c r="O14" s="9" t="s">
        <v>394</v>
      </c>
    </row>
    <row r="15" spans="1:16" ht="28.8" x14ac:dyDescent="0.3">
      <c r="A15" s="9">
        <v>13</v>
      </c>
      <c r="B15" s="9">
        <v>13</v>
      </c>
      <c r="C15" s="9" t="s">
        <v>395</v>
      </c>
      <c r="D15" s="9" t="s">
        <v>396</v>
      </c>
      <c r="E15" s="9" t="s">
        <v>389</v>
      </c>
      <c r="F15" s="2" t="s">
        <v>400</v>
      </c>
      <c r="G15" s="9" t="s">
        <v>93</v>
      </c>
      <c r="H15" s="2" t="s">
        <v>397</v>
      </c>
      <c r="I15" s="3" t="s">
        <v>406</v>
      </c>
      <c r="J15" s="9" t="s">
        <v>72</v>
      </c>
      <c r="K15" s="7" t="s">
        <v>398</v>
      </c>
      <c r="L15" s="9" t="s">
        <v>240</v>
      </c>
      <c r="M15" s="5" t="s">
        <v>329</v>
      </c>
      <c r="O15" s="9" t="s">
        <v>399</v>
      </c>
    </row>
    <row r="16" spans="1:16" ht="43.2" x14ac:dyDescent="0.3">
      <c r="A16" s="9">
        <v>14</v>
      </c>
      <c r="B16" s="9">
        <v>14</v>
      </c>
      <c r="C16" s="9" t="s">
        <v>401</v>
      </c>
      <c r="D16" s="9" t="s">
        <v>402</v>
      </c>
      <c r="E16" s="9" t="s">
        <v>404</v>
      </c>
      <c r="F16" s="2" t="s">
        <v>403</v>
      </c>
      <c r="G16" s="9" t="s">
        <v>93</v>
      </c>
      <c r="H16" s="2" t="s">
        <v>405</v>
      </c>
      <c r="I16" s="3" t="s">
        <v>408</v>
      </c>
      <c r="J16" s="9" t="s">
        <v>72</v>
      </c>
      <c r="K16" s="7" t="s">
        <v>241</v>
      </c>
      <c r="L16" s="9" t="s">
        <v>409</v>
      </c>
      <c r="M16" s="5" t="s">
        <v>384</v>
      </c>
      <c r="O16" s="9" t="s">
        <v>410</v>
      </c>
    </row>
    <row r="17" spans="1:15" ht="57.6" x14ac:dyDescent="0.3">
      <c r="A17" s="9">
        <v>15</v>
      </c>
      <c r="B17" s="9">
        <v>15</v>
      </c>
      <c r="C17" s="9" t="s">
        <v>411</v>
      </c>
      <c r="D17" s="9" t="s">
        <v>416</v>
      </c>
      <c r="E17" s="9" t="s">
        <v>412</v>
      </c>
      <c r="F17" s="2" t="s">
        <v>417</v>
      </c>
      <c r="G17" s="9" t="s">
        <v>93</v>
      </c>
      <c r="H17" s="2" t="s">
        <v>413</v>
      </c>
      <c r="I17" s="3" t="s">
        <v>414</v>
      </c>
      <c r="J17" s="9" t="s">
        <v>298</v>
      </c>
      <c r="K17" s="7" t="s">
        <v>415</v>
      </c>
      <c r="L17" s="9" t="s">
        <v>240</v>
      </c>
      <c r="M17" s="5" t="s">
        <v>329</v>
      </c>
      <c r="O17" s="9" t="s">
        <v>399</v>
      </c>
    </row>
    <row r="18" spans="1:15" ht="43.2" x14ac:dyDescent="0.3">
      <c r="A18" s="9">
        <v>16</v>
      </c>
      <c r="B18" s="9">
        <v>16</v>
      </c>
      <c r="C18" s="9" t="s">
        <v>418</v>
      </c>
      <c r="D18" s="9" t="s">
        <v>419</v>
      </c>
      <c r="E18" s="9" t="s">
        <v>420</v>
      </c>
      <c r="F18" s="2" t="s">
        <v>421</v>
      </c>
      <c r="G18" s="9" t="s">
        <v>93</v>
      </c>
      <c r="H18" s="2" t="s">
        <v>422</v>
      </c>
      <c r="I18" s="3" t="s">
        <v>423</v>
      </c>
      <c r="J18" s="9" t="s">
        <v>72</v>
      </c>
      <c r="K18" s="7" t="s">
        <v>415</v>
      </c>
      <c r="L18" s="9" t="s">
        <v>240</v>
      </c>
      <c r="M18" s="5" t="s">
        <v>384</v>
      </c>
      <c r="O18" s="9" t="s">
        <v>399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abSelected="1" topLeftCell="K7" workbookViewId="0">
      <selection activeCell="P12" sqref="P12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46</v>
      </c>
      <c r="L1" s="49" t="s">
        <v>47</v>
      </c>
      <c r="M1" s="50" t="s">
        <v>48</v>
      </c>
      <c r="N1" s="49" t="s">
        <v>341</v>
      </c>
      <c r="O1" s="52" t="s">
        <v>354</v>
      </c>
      <c r="P1" s="49" t="s">
        <v>355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345</v>
      </c>
      <c r="M2" s="8" t="s">
        <v>63</v>
      </c>
      <c r="N2" s="9" t="s">
        <v>335</v>
      </c>
      <c r="O2" s="51" t="s">
        <v>356</v>
      </c>
      <c r="P2" s="9" t="s">
        <v>358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435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331</v>
      </c>
      <c r="J3" s="12" t="s">
        <v>81</v>
      </c>
      <c r="K3" s="9" t="s">
        <v>61</v>
      </c>
      <c r="L3" s="12" t="s">
        <v>346</v>
      </c>
      <c r="M3" s="8" t="s">
        <v>63</v>
      </c>
      <c r="N3" s="9" t="s">
        <v>334</v>
      </c>
      <c r="O3" s="51" t="s">
        <v>356</v>
      </c>
      <c r="P3" s="9" t="s">
        <v>358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313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347</v>
      </c>
      <c r="M4" s="8" t="s">
        <v>63</v>
      </c>
      <c r="N4" s="9" t="s">
        <v>333</v>
      </c>
      <c r="O4" s="51" t="s">
        <v>356</v>
      </c>
      <c r="P4" s="9" t="s">
        <v>358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314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348</v>
      </c>
      <c r="M5" s="8" t="s">
        <v>94</v>
      </c>
      <c r="N5" s="9" t="s">
        <v>336</v>
      </c>
      <c r="O5" s="51" t="s">
        <v>357</v>
      </c>
      <c r="P5" s="12" t="s">
        <v>359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315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331</v>
      </c>
      <c r="J6" s="12" t="s">
        <v>81</v>
      </c>
      <c r="K6" s="9" t="s">
        <v>78</v>
      </c>
      <c r="L6" s="12" t="s">
        <v>349</v>
      </c>
      <c r="M6" s="8" t="s">
        <v>79</v>
      </c>
      <c r="N6" s="12" t="s">
        <v>337</v>
      </c>
      <c r="O6" s="55" t="s">
        <v>360</v>
      </c>
      <c r="P6" s="9" t="s">
        <v>361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316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331</v>
      </c>
      <c r="J7" s="12" t="s">
        <v>93</v>
      </c>
      <c r="K7" s="12" t="s">
        <v>96</v>
      </c>
      <c r="L7" s="12" t="s">
        <v>346</v>
      </c>
      <c r="M7" s="14" t="s">
        <v>97</v>
      </c>
      <c r="N7" s="9" t="s">
        <v>338</v>
      </c>
      <c r="O7" s="55" t="s">
        <v>362</v>
      </c>
      <c r="P7" s="9" t="s">
        <v>364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317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332</v>
      </c>
      <c r="J8" s="12" t="s">
        <v>93</v>
      </c>
      <c r="K8" s="9" t="s">
        <v>238</v>
      </c>
      <c r="L8" s="12" t="s">
        <v>350</v>
      </c>
      <c r="M8" s="14" t="s">
        <v>258</v>
      </c>
      <c r="N8" s="9" t="s">
        <v>339</v>
      </c>
      <c r="O8" s="55" t="s">
        <v>363</v>
      </c>
      <c r="P8" s="9" t="s">
        <v>365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318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351</v>
      </c>
      <c r="M9" s="8" t="s">
        <v>259</v>
      </c>
      <c r="N9" s="9" t="s">
        <v>340</v>
      </c>
      <c r="O9" s="55" t="s">
        <v>363</v>
      </c>
      <c r="P9" s="9" t="s">
        <v>365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319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352</v>
      </c>
      <c r="M10" s="8" t="s">
        <v>259</v>
      </c>
      <c r="N10" s="9" t="s">
        <v>342</v>
      </c>
      <c r="O10" s="55" t="s">
        <v>363</v>
      </c>
      <c r="P10" s="9" t="s">
        <v>365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320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353</v>
      </c>
      <c r="M11" s="8" t="s">
        <v>260</v>
      </c>
      <c r="N11" s="9" t="s">
        <v>343</v>
      </c>
      <c r="O11" s="55" t="s">
        <v>493</v>
      </c>
      <c r="P11" s="9" t="s">
        <v>494</v>
      </c>
    </row>
    <row r="12" spans="1:16" ht="43.2" x14ac:dyDescent="0.3">
      <c r="A12" s="12" t="s">
        <v>424</v>
      </c>
      <c r="B12" s="9" t="s">
        <v>381</v>
      </c>
      <c r="C12" s="14" t="s">
        <v>390</v>
      </c>
      <c r="D12" s="12" t="s">
        <v>392</v>
      </c>
      <c r="E12" s="12" t="s">
        <v>135</v>
      </c>
      <c r="F12" s="12" t="s">
        <v>71</v>
      </c>
      <c r="G12" s="9" t="s">
        <v>240</v>
      </c>
      <c r="H12" s="12" t="s">
        <v>430</v>
      </c>
      <c r="I12" s="9" t="s">
        <v>38</v>
      </c>
      <c r="J12" s="9" t="s">
        <v>265</v>
      </c>
      <c r="K12" s="12" t="s">
        <v>385</v>
      </c>
      <c r="L12" s="12" t="s">
        <v>447</v>
      </c>
      <c r="M12" s="8" t="s">
        <v>386</v>
      </c>
      <c r="N12" s="12" t="s">
        <v>436</v>
      </c>
      <c r="O12" s="55" t="s">
        <v>449</v>
      </c>
      <c r="P12" s="9" t="s">
        <v>450</v>
      </c>
    </row>
    <row r="13" spans="1:16" ht="43.2" x14ac:dyDescent="0.3">
      <c r="A13" s="12" t="s">
        <v>425</v>
      </c>
      <c r="B13" s="9" t="s">
        <v>388</v>
      </c>
      <c r="C13" s="14" t="s">
        <v>391</v>
      </c>
      <c r="D13" s="12" t="s">
        <v>407</v>
      </c>
      <c r="E13" s="12" t="s">
        <v>135</v>
      </c>
      <c r="F13" s="12" t="s">
        <v>393</v>
      </c>
      <c r="G13" s="9" t="s">
        <v>240</v>
      </c>
      <c r="H13" s="12" t="s">
        <v>430</v>
      </c>
      <c r="I13" s="9" t="s">
        <v>394</v>
      </c>
      <c r="J13" s="9" t="s">
        <v>93</v>
      </c>
      <c r="K13" s="12" t="s">
        <v>387</v>
      </c>
      <c r="L13" s="12" t="s">
        <v>448</v>
      </c>
      <c r="M13" s="8" t="s">
        <v>438</v>
      </c>
      <c r="N13" s="12" t="s">
        <v>437</v>
      </c>
      <c r="O13" s="55" t="s">
        <v>452</v>
      </c>
      <c r="P13" s="9" t="s">
        <v>451</v>
      </c>
    </row>
    <row r="14" spans="1:16" ht="57.6" x14ac:dyDescent="0.3">
      <c r="A14" s="12" t="s">
        <v>426</v>
      </c>
      <c r="B14" s="9" t="s">
        <v>395</v>
      </c>
      <c r="C14" s="14" t="s">
        <v>397</v>
      </c>
      <c r="D14" s="12" t="s">
        <v>406</v>
      </c>
      <c r="E14" s="12" t="s">
        <v>72</v>
      </c>
      <c r="F14" s="12" t="s">
        <v>398</v>
      </c>
      <c r="G14" s="9" t="s">
        <v>240</v>
      </c>
      <c r="H14" s="12" t="s">
        <v>430</v>
      </c>
      <c r="I14" s="9" t="s">
        <v>399</v>
      </c>
      <c r="J14" s="9" t="s">
        <v>93</v>
      </c>
      <c r="K14" s="12" t="s">
        <v>396</v>
      </c>
      <c r="L14" s="12" t="s">
        <v>443</v>
      </c>
      <c r="M14" s="8" t="s">
        <v>400</v>
      </c>
      <c r="N14" s="12" t="s">
        <v>442</v>
      </c>
      <c r="O14" s="55" t="s">
        <v>453</v>
      </c>
      <c r="P14" s="9" t="s">
        <v>455</v>
      </c>
    </row>
    <row r="15" spans="1:16" ht="43.2" x14ac:dyDescent="0.3">
      <c r="A15" s="12" t="s">
        <v>427</v>
      </c>
      <c r="B15" s="9" t="s">
        <v>401</v>
      </c>
      <c r="C15" s="14" t="s">
        <v>405</v>
      </c>
      <c r="D15" s="12" t="s">
        <v>408</v>
      </c>
      <c r="E15" s="12" t="s">
        <v>72</v>
      </c>
      <c r="F15" s="12" t="s">
        <v>241</v>
      </c>
      <c r="G15" s="9" t="s">
        <v>409</v>
      </c>
      <c r="H15" s="12" t="s">
        <v>430</v>
      </c>
      <c r="I15" s="9" t="s">
        <v>410</v>
      </c>
      <c r="J15" s="9" t="s">
        <v>93</v>
      </c>
      <c r="K15" s="12" t="s">
        <v>402</v>
      </c>
      <c r="L15" s="12" t="s">
        <v>444</v>
      </c>
      <c r="M15" s="8" t="s">
        <v>403</v>
      </c>
      <c r="N15" s="12" t="s">
        <v>439</v>
      </c>
      <c r="O15" s="55" t="s">
        <v>457</v>
      </c>
      <c r="P15" s="9" t="s">
        <v>459</v>
      </c>
    </row>
    <row r="16" spans="1:16" ht="57.6" x14ac:dyDescent="0.3">
      <c r="A16" s="12" t="s">
        <v>428</v>
      </c>
      <c r="B16" s="9" t="s">
        <v>411</v>
      </c>
      <c r="C16" s="14" t="s">
        <v>413</v>
      </c>
      <c r="D16" s="12" t="s">
        <v>414</v>
      </c>
      <c r="E16" s="12" t="s">
        <v>298</v>
      </c>
      <c r="F16" s="12" t="s">
        <v>415</v>
      </c>
      <c r="G16" s="9" t="s">
        <v>240</v>
      </c>
      <c r="H16" s="12" t="s">
        <v>329</v>
      </c>
      <c r="I16" s="9" t="s">
        <v>399</v>
      </c>
      <c r="J16" s="9" t="s">
        <v>93</v>
      </c>
      <c r="K16" s="12" t="s">
        <v>416</v>
      </c>
      <c r="L16" s="12" t="s">
        <v>445</v>
      </c>
      <c r="M16" s="8" t="s">
        <v>417</v>
      </c>
      <c r="N16" s="12" t="s">
        <v>440</v>
      </c>
      <c r="O16" s="51" t="s">
        <v>458</v>
      </c>
      <c r="P16" s="9" t="s">
        <v>460</v>
      </c>
    </row>
    <row r="17" spans="1:16" ht="43.2" x14ac:dyDescent="0.3">
      <c r="A17" s="12" t="s">
        <v>429</v>
      </c>
      <c r="B17" s="9" t="s">
        <v>418</v>
      </c>
      <c r="C17" s="14" t="s">
        <v>422</v>
      </c>
      <c r="D17" s="12" t="s">
        <v>423</v>
      </c>
      <c r="E17" s="12" t="s">
        <v>72</v>
      </c>
      <c r="F17" s="12" t="s">
        <v>415</v>
      </c>
      <c r="G17" s="9" t="s">
        <v>240</v>
      </c>
      <c r="H17" s="12" t="s">
        <v>430</v>
      </c>
      <c r="I17" s="9" t="s">
        <v>399</v>
      </c>
      <c r="J17" s="9" t="s">
        <v>93</v>
      </c>
      <c r="K17" s="12" t="s">
        <v>419</v>
      </c>
      <c r="L17" s="12" t="s">
        <v>446</v>
      </c>
      <c r="M17" s="8" t="s">
        <v>421</v>
      </c>
      <c r="N17" s="12" t="s">
        <v>441</v>
      </c>
      <c r="O17" s="55" t="s">
        <v>454</v>
      </c>
      <c r="P17" s="9" t="s">
        <v>456</v>
      </c>
    </row>
    <row r="27" spans="1:16" x14ac:dyDescent="0.3">
      <c r="B27" t="s">
        <v>344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topLeftCell="G158" zoomScale="96" zoomScaleNormal="79" workbookViewId="0">
      <selection activeCell="K178" sqref="K17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467</v>
      </c>
      <c r="H5">
        <v>1</v>
      </c>
      <c r="K5" t="s">
        <v>327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326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328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379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329</v>
      </c>
      <c r="L13">
        <v>1</v>
      </c>
      <c r="O13" s="46" t="s">
        <v>380</v>
      </c>
      <c r="P13">
        <v>1</v>
      </c>
    </row>
    <row r="14" spans="1:16" ht="29.4" thickBot="1" x14ac:dyDescent="0.35">
      <c r="B14" s="15"/>
      <c r="G14" t="s">
        <v>376</v>
      </c>
      <c r="H14">
        <v>2</v>
      </c>
      <c r="K14" s="3" t="s">
        <v>330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377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378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321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434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322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323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324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325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468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483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371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372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369</v>
      </c>
      <c r="G51" s="36" t="s">
        <v>297</v>
      </c>
      <c r="H51" s="44">
        <v>0.91666666666666663</v>
      </c>
      <c r="I51" s="36" t="s">
        <v>375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373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374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370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367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366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368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369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424</v>
      </c>
      <c r="B59" s="37" t="s">
        <v>381</v>
      </c>
      <c r="C59" s="37">
        <v>750</v>
      </c>
      <c r="D59" s="37">
        <v>6</v>
      </c>
      <c r="E59" s="36" t="s">
        <v>296</v>
      </c>
      <c r="F59" s="37" t="s">
        <v>461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425</v>
      </c>
      <c r="B60" s="37" t="s">
        <v>388</v>
      </c>
      <c r="C60" s="37">
        <v>625</v>
      </c>
      <c r="D60" s="37">
        <v>5</v>
      </c>
      <c r="E60" s="36" t="s">
        <v>296</v>
      </c>
      <c r="F60" s="37" t="s">
        <v>462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434</v>
      </c>
      <c r="L60" s="12"/>
      <c r="M60" s="12"/>
    </row>
    <row r="61" spans="1:13" ht="21" thickBot="1" x14ac:dyDescent="0.35">
      <c r="A61" s="35" t="s">
        <v>426</v>
      </c>
      <c r="B61" s="37" t="s">
        <v>395</v>
      </c>
      <c r="C61" s="37">
        <v>708.33299999999997</v>
      </c>
      <c r="D61" s="37">
        <v>5</v>
      </c>
      <c r="E61" s="36" t="s">
        <v>296</v>
      </c>
      <c r="F61" s="37" t="s">
        <v>463</v>
      </c>
      <c r="G61" s="36" t="s">
        <v>297</v>
      </c>
      <c r="H61" s="37" t="s">
        <v>433</v>
      </c>
      <c r="I61" s="36" t="s">
        <v>93</v>
      </c>
      <c r="J61" s="36" t="s">
        <v>135</v>
      </c>
      <c r="K61" s="37" t="s">
        <v>434</v>
      </c>
      <c r="L61" s="12"/>
      <c r="M61" s="12"/>
    </row>
    <row r="62" spans="1:13" ht="15" thickBot="1" x14ac:dyDescent="0.35">
      <c r="A62" s="35" t="s">
        <v>427</v>
      </c>
      <c r="B62" s="37" t="s">
        <v>401</v>
      </c>
      <c r="C62" s="37">
        <v>583.33299999999997</v>
      </c>
      <c r="D62" s="37">
        <v>4</v>
      </c>
      <c r="E62" s="37" t="s">
        <v>432</v>
      </c>
      <c r="F62" s="37" t="s">
        <v>464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428</v>
      </c>
      <c r="B63" s="37" t="s">
        <v>431</v>
      </c>
      <c r="C63" s="37">
        <v>730</v>
      </c>
      <c r="D63" s="37">
        <v>5</v>
      </c>
      <c r="E63" s="36" t="s">
        <v>296</v>
      </c>
      <c r="F63" s="37" t="s">
        <v>465</v>
      </c>
      <c r="G63" s="37" t="s">
        <v>329</v>
      </c>
      <c r="H63" s="37" t="s">
        <v>433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429</v>
      </c>
      <c r="B64" s="37" t="s">
        <v>418</v>
      </c>
      <c r="C64" s="37">
        <v>666.66700000000003</v>
      </c>
      <c r="D64" s="37">
        <v>5</v>
      </c>
      <c r="E64" s="36" t="s">
        <v>296</v>
      </c>
      <c r="F64" s="37" t="s">
        <v>466</v>
      </c>
      <c r="G64" s="36" t="s">
        <v>297</v>
      </c>
      <c r="H64" s="37" t="s">
        <v>433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424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425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426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427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428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429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424</v>
      </c>
      <c r="B100" s="48">
        <f t="shared" ref="B100:B105" si="3">1/B79</f>
        <v>1</v>
      </c>
      <c r="F100" t="s">
        <v>424</v>
      </c>
      <c r="G100">
        <f t="shared" ref="G100:G105" si="4">C79/5</f>
        <v>0.6</v>
      </c>
      <c r="J100" t="s">
        <v>424</v>
      </c>
      <c r="K100">
        <f t="shared" ref="K100:K105" si="5">D79/5</f>
        <v>0.6</v>
      </c>
    </row>
    <row r="101" spans="1:11" x14ac:dyDescent="0.3">
      <c r="A101" t="s">
        <v>425</v>
      </c>
      <c r="B101" s="48">
        <f t="shared" si="3"/>
        <v>1</v>
      </c>
      <c r="F101" t="s">
        <v>425</v>
      </c>
      <c r="G101">
        <f t="shared" si="4"/>
        <v>0.6</v>
      </c>
      <c r="J101" t="s">
        <v>425</v>
      </c>
      <c r="K101">
        <f t="shared" si="5"/>
        <v>0.6</v>
      </c>
    </row>
    <row r="102" spans="1:11" x14ac:dyDescent="0.3">
      <c r="A102" t="s">
        <v>426</v>
      </c>
      <c r="B102" s="48">
        <f t="shared" si="3"/>
        <v>1</v>
      </c>
      <c r="F102" t="s">
        <v>426</v>
      </c>
      <c r="G102">
        <f t="shared" si="4"/>
        <v>0.6</v>
      </c>
      <c r="J102" t="s">
        <v>426</v>
      </c>
      <c r="K102">
        <f t="shared" si="5"/>
        <v>0.6</v>
      </c>
    </row>
    <row r="103" spans="1:11" x14ac:dyDescent="0.3">
      <c r="A103" t="s">
        <v>427</v>
      </c>
      <c r="B103" s="48">
        <f t="shared" si="3"/>
        <v>1</v>
      </c>
      <c r="F103" t="s">
        <v>427</v>
      </c>
      <c r="G103">
        <f>C82/5</f>
        <v>0.4</v>
      </c>
      <c r="J103" t="s">
        <v>427</v>
      </c>
      <c r="K103">
        <f t="shared" si="5"/>
        <v>0.8</v>
      </c>
    </row>
    <row r="104" spans="1:11" x14ac:dyDescent="0.3">
      <c r="A104" t="s">
        <v>428</v>
      </c>
      <c r="B104" s="48">
        <f t="shared" si="3"/>
        <v>1</v>
      </c>
      <c r="F104" t="s">
        <v>428</v>
      </c>
      <c r="G104">
        <f t="shared" si="4"/>
        <v>0.6</v>
      </c>
      <c r="J104" t="s">
        <v>428</v>
      </c>
      <c r="K104">
        <f t="shared" si="5"/>
        <v>0.6</v>
      </c>
    </row>
    <row r="105" spans="1:11" x14ac:dyDescent="0.3">
      <c r="A105" t="s">
        <v>429</v>
      </c>
      <c r="B105" s="48">
        <f t="shared" si="3"/>
        <v>1</v>
      </c>
      <c r="F105" t="s">
        <v>429</v>
      </c>
      <c r="G105">
        <f t="shared" si="4"/>
        <v>0.6</v>
      </c>
      <c r="J105" t="s">
        <v>429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424</v>
      </c>
      <c r="B118">
        <f t="shared" si="6"/>
        <v>0.5</v>
      </c>
      <c r="F118" t="s">
        <v>424</v>
      </c>
      <c r="G118">
        <f t="shared" si="7"/>
        <v>1</v>
      </c>
      <c r="J118" t="s">
        <v>424</v>
      </c>
      <c r="K118">
        <f t="shared" ref="K118:K123" si="9">2/G79</f>
        <v>1</v>
      </c>
    </row>
    <row r="119" spans="1:11" x14ac:dyDescent="0.3">
      <c r="A119" t="s">
        <v>425</v>
      </c>
      <c r="B119">
        <f t="shared" si="6"/>
        <v>0.5</v>
      </c>
      <c r="F119" t="s">
        <v>425</v>
      </c>
      <c r="G119">
        <f t="shared" si="7"/>
        <v>1</v>
      </c>
      <c r="J119" t="s">
        <v>425</v>
      </c>
      <c r="K119">
        <f>2/G80</f>
        <v>0.66666666666666663</v>
      </c>
    </row>
    <row r="120" spans="1:11" x14ac:dyDescent="0.3">
      <c r="A120" t="s">
        <v>426</v>
      </c>
      <c r="B120">
        <f t="shared" si="6"/>
        <v>0.5</v>
      </c>
      <c r="F120" t="s">
        <v>426</v>
      </c>
      <c r="G120">
        <f t="shared" si="7"/>
        <v>1</v>
      </c>
      <c r="J120" t="s">
        <v>426</v>
      </c>
      <c r="K120">
        <f t="shared" si="9"/>
        <v>0.4</v>
      </c>
    </row>
    <row r="121" spans="1:11" x14ac:dyDescent="0.3">
      <c r="A121" t="s">
        <v>427</v>
      </c>
      <c r="B121">
        <f t="shared" si="6"/>
        <v>0.5</v>
      </c>
      <c r="F121" t="s">
        <v>427</v>
      </c>
      <c r="G121">
        <f t="shared" si="7"/>
        <v>1</v>
      </c>
      <c r="J121" t="s">
        <v>427</v>
      </c>
      <c r="K121">
        <f t="shared" si="9"/>
        <v>0.4</v>
      </c>
    </row>
    <row r="122" spans="1:11" x14ac:dyDescent="0.3">
      <c r="A122" t="s">
        <v>428</v>
      </c>
      <c r="B122">
        <f t="shared" si="6"/>
        <v>0.5</v>
      </c>
      <c r="F122" t="s">
        <v>428</v>
      </c>
      <c r="G122">
        <f t="shared" si="7"/>
        <v>0.5</v>
      </c>
      <c r="J122" t="s">
        <v>428</v>
      </c>
      <c r="K122">
        <f t="shared" si="9"/>
        <v>0.4</v>
      </c>
    </row>
    <row r="123" spans="1:11" x14ac:dyDescent="0.3">
      <c r="A123" t="s">
        <v>429</v>
      </c>
      <c r="B123">
        <f t="shared" si="6"/>
        <v>0.5</v>
      </c>
      <c r="F123" t="s">
        <v>429</v>
      </c>
      <c r="G123">
        <f t="shared" si="7"/>
        <v>1</v>
      </c>
      <c r="J123" t="s">
        <v>429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469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424</v>
      </c>
      <c r="B136">
        <f t="shared" ref="B136:B141" si="13">H79/2</f>
        <v>0.5</v>
      </c>
      <c r="F136" t="s">
        <v>424</v>
      </c>
      <c r="G136" s="19">
        <f t="shared" si="11"/>
        <v>0.66666666666666663</v>
      </c>
      <c r="J136" t="s">
        <v>424</v>
      </c>
      <c r="K136" s="19">
        <f t="shared" si="12"/>
        <v>1</v>
      </c>
    </row>
    <row r="137" spans="1:11" x14ac:dyDescent="0.3">
      <c r="A137" t="s">
        <v>425</v>
      </c>
      <c r="B137">
        <f t="shared" si="13"/>
        <v>1</v>
      </c>
      <c r="F137" t="s">
        <v>425</v>
      </c>
      <c r="G137" s="19">
        <f t="shared" si="11"/>
        <v>0.66666666666666663</v>
      </c>
      <c r="J137" t="s">
        <v>425</v>
      </c>
      <c r="K137" s="19">
        <f t="shared" si="12"/>
        <v>0.33333333333333331</v>
      </c>
    </row>
    <row r="138" spans="1:11" x14ac:dyDescent="0.3">
      <c r="A138" t="s">
        <v>426</v>
      </c>
      <c r="B138">
        <f t="shared" si="13"/>
        <v>1</v>
      </c>
      <c r="F138" t="s">
        <v>426</v>
      </c>
      <c r="G138" s="19">
        <f t="shared" si="11"/>
        <v>0.66666666666666663</v>
      </c>
      <c r="J138" t="s">
        <v>426</v>
      </c>
      <c r="K138" s="19">
        <f t="shared" si="12"/>
        <v>0.33333333333333331</v>
      </c>
    </row>
    <row r="139" spans="1:11" x14ac:dyDescent="0.3">
      <c r="A139" t="s">
        <v>427</v>
      </c>
      <c r="B139">
        <f t="shared" si="13"/>
        <v>1</v>
      </c>
      <c r="F139" t="s">
        <v>427</v>
      </c>
      <c r="G139" s="19">
        <f t="shared" si="11"/>
        <v>0.66666666666666663</v>
      </c>
      <c r="J139" t="s">
        <v>427</v>
      </c>
      <c r="K139" s="19">
        <f t="shared" si="12"/>
        <v>0.66666666666666663</v>
      </c>
    </row>
    <row r="140" spans="1:11" x14ac:dyDescent="0.3">
      <c r="A140" t="s">
        <v>428</v>
      </c>
      <c r="B140">
        <f t="shared" si="13"/>
        <v>1</v>
      </c>
      <c r="F140" t="s">
        <v>428</v>
      </c>
      <c r="G140" s="19">
        <f t="shared" si="11"/>
        <v>1</v>
      </c>
      <c r="J140" t="s">
        <v>428</v>
      </c>
      <c r="K140" s="19">
        <f t="shared" si="12"/>
        <v>1</v>
      </c>
    </row>
    <row r="141" spans="1:11" x14ac:dyDescent="0.3">
      <c r="A141" t="s">
        <v>429</v>
      </c>
      <c r="B141">
        <f t="shared" si="13"/>
        <v>1</v>
      </c>
      <c r="F141" t="s">
        <v>429</v>
      </c>
      <c r="G141" s="19">
        <f t="shared" si="11"/>
        <v>0.66666666666666663</v>
      </c>
      <c r="J141" t="s">
        <v>429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424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424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425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425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426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426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427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427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428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428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429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429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470</v>
      </c>
      <c r="P164" s="18" t="s">
        <v>470</v>
      </c>
    </row>
    <row r="165" spans="1:28" x14ac:dyDescent="0.3">
      <c r="A165" s="9"/>
      <c r="B165" s="9" t="s">
        <v>484</v>
      </c>
      <c r="C165" s="9" t="s">
        <v>485</v>
      </c>
      <c r="D165" s="9" t="s">
        <v>486</v>
      </c>
      <c r="E165" s="9" t="s">
        <v>487</v>
      </c>
      <c r="F165" s="9" t="s">
        <v>488</v>
      </c>
      <c r="G165" s="9" t="s">
        <v>489</v>
      </c>
      <c r="H165" s="9" t="s">
        <v>490</v>
      </c>
      <c r="I165" s="9" t="s">
        <v>491</v>
      </c>
      <c r="J165" s="9" t="s">
        <v>492</v>
      </c>
      <c r="K165" s="9"/>
      <c r="L165" s="9"/>
      <c r="M165" s="9"/>
      <c r="P165" s="9"/>
      <c r="Q165" s="9" t="s">
        <v>472</v>
      </c>
      <c r="R165" s="9" t="s">
        <v>471</v>
      </c>
      <c r="S165" s="9" t="s">
        <v>473</v>
      </c>
      <c r="T165" s="9" t="s">
        <v>474</v>
      </c>
      <c r="U165" s="9" t="s">
        <v>475</v>
      </c>
      <c r="V165" s="9" t="s">
        <v>476</v>
      </c>
      <c r="W165" s="9" t="s">
        <v>477</v>
      </c>
      <c r="X165" s="9" t="s">
        <v>478</v>
      </c>
      <c r="Y165" s="9" t="s">
        <v>479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480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480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480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480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480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480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480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480</v>
      </c>
    </row>
    <row r="177" spans="1:28" x14ac:dyDescent="0.3">
      <c r="A177" s="9" t="s">
        <v>424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424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480</v>
      </c>
    </row>
    <row r="178" spans="1:28" x14ac:dyDescent="0.3">
      <c r="A178" s="9" t="s">
        <v>425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 t="shared" si="27"/>
        <v>0.76700666666666661</v>
      </c>
      <c r="L178" s="9">
        <v>4</v>
      </c>
      <c r="M178" s="9">
        <f t="shared" si="25"/>
        <v>4</v>
      </c>
      <c r="P178" s="63" t="s">
        <v>425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426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426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480</v>
      </c>
    </row>
    <row r="180" spans="1:28" x14ac:dyDescent="0.3">
      <c r="A180" s="9" t="s">
        <v>427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427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480</v>
      </c>
    </row>
    <row r="181" spans="1:28" x14ac:dyDescent="0.3">
      <c r="A181" s="9" t="s">
        <v>428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428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429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429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480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481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482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Kost</vt:lpstr>
      <vt:lpstr>kost rapi</vt:lpstr>
      <vt:lpstr>Studi Kasus for me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2026-02-13T23:32:51Z</dcterms:modified>
</cp:coreProperties>
</file>