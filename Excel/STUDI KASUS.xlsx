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Excel\"/>
    </mc:Choice>
  </mc:AlternateContent>
  <xr:revisionPtr revIDLastSave="0" documentId="13_ncr:1_{2D7AD738-62BC-47DC-A182-C5680BEE615D}" xr6:coauthVersionLast="47" xr6:coauthVersionMax="47" xr10:uidLastSave="{00000000-0000-0000-0000-000000000000}"/>
  <bookViews>
    <workbookView xWindow="-110" yWindow="-110" windowWidth="25820" windowHeight="15500" tabRatio="691" xr2:uid="{901D0503-6946-40CA-8D36-37B156763246}"/>
  </bookViews>
  <sheets>
    <sheet name="Kost" sheetId="3" r:id="rId1"/>
    <sheet name="kost rapi" sheetId="11" r:id="rId2"/>
    <sheet name="Bobot Kriteria" sheetId="2" r:id="rId3"/>
    <sheet name="Studi Kasus for me" sheetId="4" r:id="rId4"/>
    <sheet name="Studi Kasus for jurnal" sheetId="8" r:id="rId5"/>
    <sheet name="Hasil Bab 4" sheetId="6" r:id="rId6"/>
    <sheet name="Metode Sample" sheetId="10" r:id="rId7"/>
    <sheet name="Ressponden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3" i="4" l="1"/>
  <c r="H133" i="4"/>
  <c r="E141" i="4"/>
  <c r="E140" i="4"/>
  <c r="D141" i="4"/>
  <c r="B105" i="4"/>
  <c r="B103" i="4"/>
  <c r="B91" i="4"/>
  <c r="B118" i="4"/>
  <c r="B110" i="4"/>
  <c r="G87" i="4"/>
  <c r="K111" i="4"/>
  <c r="B111" i="4"/>
  <c r="B92" i="4"/>
  <c r="B93" i="4"/>
  <c r="B94" i="4"/>
  <c r="B95" i="4"/>
  <c r="B96" i="4"/>
  <c r="B97" i="4"/>
  <c r="B98" i="4"/>
  <c r="B99" i="4"/>
  <c r="E126" i="4" s="1"/>
  <c r="B100" i="4"/>
  <c r="E127" i="4" s="1"/>
  <c r="E142" i="4" s="1"/>
  <c r="E118" i="4"/>
  <c r="E133" i="4" s="1"/>
  <c r="F139" i="4"/>
  <c r="J133" i="4"/>
  <c r="F136" i="4"/>
  <c r="B125" i="4"/>
  <c r="H124" i="4"/>
  <c r="B121" i="4"/>
  <c r="H121" i="4"/>
  <c r="G88" i="4"/>
  <c r="K87" i="4"/>
  <c r="C126" i="4"/>
  <c r="C141" i="4" s="1"/>
  <c r="B87" i="4"/>
  <c r="G86" i="4"/>
  <c r="B86" i="4"/>
  <c r="K109" i="4"/>
  <c r="K97" i="4"/>
  <c r="B85" i="4"/>
  <c r="B108" i="4"/>
  <c r="G84" i="4"/>
  <c r="B84" i="4"/>
  <c r="G107" i="4"/>
  <c r="B107" i="4"/>
  <c r="K83" i="4"/>
  <c r="G83" i="4"/>
  <c r="B83" i="4"/>
  <c r="G106" i="4"/>
  <c r="B106" i="4"/>
  <c r="K94" i="4"/>
  <c r="K82" i="4"/>
  <c r="D121" i="4" s="1"/>
  <c r="D136" i="4" s="1"/>
  <c r="G82" i="4"/>
  <c r="B82" i="4"/>
  <c r="K93" i="4"/>
  <c r="G94" i="4"/>
  <c r="K81" i="4"/>
  <c r="B81" i="4"/>
  <c r="K92" i="4"/>
  <c r="K91" i="4"/>
  <c r="G80" i="4"/>
  <c r="B80" i="4"/>
  <c r="G103" i="4"/>
  <c r="H142" i="4"/>
  <c r="C142" i="4"/>
  <c r="B142" i="4"/>
  <c r="J141" i="4"/>
  <c r="I141" i="4"/>
  <c r="J140" i="4"/>
  <c r="I140" i="4"/>
  <c r="G140" i="4"/>
  <c r="J139" i="4"/>
  <c r="I139" i="4"/>
  <c r="G139" i="4"/>
  <c r="J138" i="4"/>
  <c r="F138" i="4"/>
  <c r="D138" i="4"/>
  <c r="C138" i="4"/>
  <c r="J137" i="4"/>
  <c r="F137" i="4"/>
  <c r="E137" i="4"/>
  <c r="D137" i="4"/>
  <c r="C137" i="4"/>
  <c r="B137" i="4"/>
  <c r="D27" i="4"/>
  <c r="B133" i="4"/>
  <c r="G121" i="4"/>
  <c r="G136" i="4" s="1"/>
  <c r="E123" i="4"/>
  <c r="E138" i="4" s="1"/>
  <c r="E121" i="4"/>
  <c r="E136" i="4" s="1"/>
  <c r="E122" i="4"/>
  <c r="E124" i="4"/>
  <c r="E139" i="4" s="1"/>
  <c r="E125" i="4"/>
  <c r="D124" i="4"/>
  <c r="D139" i="4" s="1"/>
  <c r="B120" i="4"/>
  <c r="K104" i="4"/>
  <c r="J119" i="4" s="1"/>
  <c r="K105" i="4"/>
  <c r="J120" i="4" s="1"/>
  <c r="J135" i="4" s="1"/>
  <c r="K106" i="4"/>
  <c r="J121" i="4" s="1"/>
  <c r="J136" i="4" s="1"/>
  <c r="K107" i="4"/>
  <c r="J122" i="4" s="1"/>
  <c r="K108" i="4"/>
  <c r="J123" i="4" s="1"/>
  <c r="J124" i="4"/>
  <c r="K110" i="4"/>
  <c r="J125" i="4" s="1"/>
  <c r="J126" i="4"/>
  <c r="K112" i="4"/>
  <c r="J127" i="4" s="1"/>
  <c r="J142" i="4" s="1"/>
  <c r="K103" i="4"/>
  <c r="J118" i="4" s="1"/>
  <c r="G104" i="4"/>
  <c r="I119" i="4" s="1"/>
  <c r="G105" i="4"/>
  <c r="I120" i="4" s="1"/>
  <c r="I135" i="4" s="1"/>
  <c r="I121" i="4"/>
  <c r="I136" i="4" s="1"/>
  <c r="I122" i="4"/>
  <c r="I137" i="4" s="1"/>
  <c r="G108" i="4"/>
  <c r="I123" i="4" s="1"/>
  <c r="I138" i="4" s="1"/>
  <c r="G109" i="4"/>
  <c r="I124" i="4" s="1"/>
  <c r="G110" i="4"/>
  <c r="I125" i="4" s="1"/>
  <c r="G111" i="4"/>
  <c r="I126" i="4" s="1"/>
  <c r="G112" i="4"/>
  <c r="I127" i="4" s="1"/>
  <c r="I142" i="4" s="1"/>
  <c r="I118" i="4"/>
  <c r="B104" i="4"/>
  <c r="H119" i="4" s="1"/>
  <c r="H134" i="4" s="1"/>
  <c r="H120" i="4"/>
  <c r="H136" i="4"/>
  <c r="H122" i="4"/>
  <c r="H137" i="4" s="1"/>
  <c r="H123" i="4"/>
  <c r="H138" i="4" s="1"/>
  <c r="B109" i="4"/>
  <c r="H139" i="4" s="1"/>
  <c r="H125" i="4"/>
  <c r="H140" i="4" s="1"/>
  <c r="H126" i="4"/>
  <c r="H141" i="4" s="1"/>
  <c r="B112" i="4"/>
  <c r="H127" i="4" s="1"/>
  <c r="H118" i="4"/>
  <c r="G119" i="4"/>
  <c r="G134" i="4" s="1"/>
  <c r="G120" i="4"/>
  <c r="K95" i="4"/>
  <c r="G122" i="4" s="1"/>
  <c r="G137" i="4" s="1"/>
  <c r="K96" i="4"/>
  <c r="G123" i="4" s="1"/>
  <c r="G138" i="4" s="1"/>
  <c r="K98" i="4"/>
  <c r="G125" i="4" s="1"/>
  <c r="K99" i="4"/>
  <c r="G126" i="4" s="1"/>
  <c r="G141" i="4" s="1"/>
  <c r="K100" i="4"/>
  <c r="G127" i="4" s="1"/>
  <c r="G142" i="4" s="1"/>
  <c r="G118" i="4"/>
  <c r="G133" i="4" s="1"/>
  <c r="G92" i="4"/>
  <c r="G93" i="4"/>
  <c r="F120" i="4" s="1"/>
  <c r="F121" i="4"/>
  <c r="G95" i="4"/>
  <c r="F122" i="4" s="1"/>
  <c r="G96" i="4"/>
  <c r="F123" i="4" s="1"/>
  <c r="G97" i="4"/>
  <c r="F124" i="4" s="1"/>
  <c r="G98" i="4"/>
  <c r="F125" i="4" s="1"/>
  <c r="F140" i="4" s="1"/>
  <c r="G99" i="4"/>
  <c r="F126" i="4" s="1"/>
  <c r="F141" i="4" s="1"/>
  <c r="G100" i="4"/>
  <c r="F127" i="4" s="1"/>
  <c r="F142" i="4" s="1"/>
  <c r="G91" i="4"/>
  <c r="F118" i="4" s="1"/>
  <c r="F133" i="4" s="1"/>
  <c r="K80" i="4"/>
  <c r="D119" i="4" s="1"/>
  <c r="D120" i="4"/>
  <c r="D135" i="4" s="1"/>
  <c r="D122" i="4"/>
  <c r="K84" i="4"/>
  <c r="D123" i="4" s="1"/>
  <c r="K85" i="4"/>
  <c r="K86" i="4"/>
  <c r="D125" i="4" s="1"/>
  <c r="D140" i="4" s="1"/>
  <c r="D126" i="4"/>
  <c r="K88" i="4"/>
  <c r="D127" i="4" s="1"/>
  <c r="D142" i="4" s="1"/>
  <c r="K79" i="4"/>
  <c r="D118" i="4" s="1"/>
  <c r="D133" i="4" s="1"/>
  <c r="C119" i="4"/>
  <c r="C134" i="4" s="1"/>
  <c r="G81" i="4"/>
  <c r="C120" i="4" s="1"/>
  <c r="C135" i="4" s="1"/>
  <c r="C121" i="4"/>
  <c r="C136" i="4" s="1"/>
  <c r="C122" i="4"/>
  <c r="C123" i="4"/>
  <c r="G85" i="4"/>
  <c r="C124" i="4" s="1"/>
  <c r="C139" i="4" s="1"/>
  <c r="C125" i="4"/>
  <c r="C140" i="4" s="1"/>
  <c r="C127" i="4"/>
  <c r="G79" i="4"/>
  <c r="C118" i="4" s="1"/>
  <c r="C133" i="4" s="1"/>
  <c r="B136" i="4"/>
  <c r="B122" i="4"/>
  <c r="B123" i="4"/>
  <c r="B138" i="4" s="1"/>
  <c r="B124" i="4"/>
  <c r="B139" i="4" s="1"/>
  <c r="B126" i="4"/>
  <c r="B141" i="4" s="1"/>
  <c r="B88" i="4"/>
  <c r="B127" i="4" s="1"/>
  <c r="B119" i="4"/>
  <c r="B134" i="4" s="1"/>
  <c r="B79" i="4"/>
  <c r="C27" i="4"/>
  <c r="C27" i="6"/>
  <c r="C26" i="6"/>
  <c r="C25" i="6"/>
  <c r="C24" i="6"/>
  <c r="C23" i="6"/>
  <c r="C22" i="6"/>
  <c r="C21" i="6"/>
  <c r="C20" i="6"/>
  <c r="C19" i="6"/>
  <c r="C18" i="6"/>
  <c r="D2" i="2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20" i="4"/>
  <c r="E135" i="4" s="1"/>
  <c r="F119" i="4"/>
  <c r="E119" i="4"/>
  <c r="D103" i="6"/>
  <c r="C103" i="6"/>
  <c r="B103" i="6"/>
  <c r="K102" i="6"/>
  <c r="J102" i="6"/>
  <c r="J111" i="6" s="1"/>
  <c r="F94" i="6"/>
  <c r="K103" i="6" s="1"/>
  <c r="F93" i="6"/>
  <c r="F92" i="6"/>
  <c r="K101" i="6" s="1"/>
  <c r="J88" i="6"/>
  <c r="J103" i="6" s="1"/>
  <c r="J112" i="6" s="1"/>
  <c r="F88" i="6"/>
  <c r="I103" i="6" s="1"/>
  <c r="B88" i="6"/>
  <c r="H103" i="6" s="1"/>
  <c r="J87" i="6"/>
  <c r="F87" i="6"/>
  <c r="I102" i="6" s="1"/>
  <c r="B87" i="6"/>
  <c r="H102" i="6" s="1"/>
  <c r="J86" i="6"/>
  <c r="J101" i="6" s="1"/>
  <c r="F86" i="6"/>
  <c r="I101" i="6" s="1"/>
  <c r="I110" i="6" s="1"/>
  <c r="B86" i="6"/>
  <c r="H101" i="6" s="1"/>
  <c r="H110" i="6" s="1"/>
  <c r="J82" i="6"/>
  <c r="G103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B81" i="6"/>
  <c r="E102" i="6" s="1"/>
  <c r="J80" i="6"/>
  <c r="G101" i="6" s="1"/>
  <c r="F80" i="6"/>
  <c r="F101" i="6" s="1"/>
  <c r="F110" i="6" s="1"/>
  <c r="B80" i="6"/>
  <c r="E101" i="6" s="1"/>
  <c r="J76" i="6"/>
  <c r="F76" i="6"/>
  <c r="B76" i="6"/>
  <c r="J75" i="6"/>
  <c r="D102" i="6" s="1"/>
  <c r="F75" i="6"/>
  <c r="C102" i="6" s="1"/>
  <c r="C111" i="6" s="1"/>
  <c r="B75" i="6"/>
  <c r="B102" i="6" s="1"/>
  <c r="J74" i="6"/>
  <c r="D101" i="6" s="1"/>
  <c r="D110" i="6" s="1"/>
  <c r="F74" i="6"/>
  <c r="C101" i="6" s="1"/>
  <c r="C110" i="6" s="1"/>
  <c r="B74" i="6"/>
  <c r="B101" i="6" s="1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K139" i="4" l="1"/>
  <c r="K136" i="4"/>
  <c r="K142" i="4"/>
  <c r="K138" i="4"/>
  <c r="K141" i="4"/>
  <c r="K137" i="4"/>
  <c r="B135" i="4"/>
  <c r="I134" i="4"/>
  <c r="I133" i="4"/>
  <c r="F134" i="4"/>
  <c r="J134" i="4"/>
  <c r="F135" i="4"/>
  <c r="E134" i="4"/>
  <c r="G135" i="4"/>
  <c r="D134" i="4"/>
  <c r="H135" i="4"/>
  <c r="K110" i="6"/>
  <c r="K112" i="6"/>
  <c r="K111" i="6"/>
  <c r="G112" i="6"/>
  <c r="E110" i="6"/>
  <c r="D111" i="6"/>
  <c r="D112" i="6"/>
  <c r="C112" i="6"/>
  <c r="J110" i="6"/>
  <c r="H111" i="6"/>
  <c r="I111" i="6"/>
  <c r="G110" i="6"/>
  <c r="E111" i="6"/>
  <c r="H112" i="6"/>
  <c r="F111" i="6"/>
  <c r="I112" i="6"/>
  <c r="B110" i="6"/>
  <c r="L110" i="6" s="1"/>
  <c r="B112" i="6"/>
  <c r="L112" i="6" s="1"/>
  <c r="B111" i="6"/>
  <c r="L111" i="6" s="1"/>
  <c r="M111" i="6" s="1"/>
  <c r="E27" i="8"/>
  <c r="D27" i="8"/>
  <c r="O117" i="8"/>
  <c r="O118" i="8"/>
  <c r="O119" i="8"/>
  <c r="K135" i="4" l="1"/>
  <c r="K134" i="4"/>
  <c r="M112" i="6"/>
  <c r="M110" i="6"/>
  <c r="O114" i="8"/>
  <c r="O115" i="8"/>
  <c r="O116" i="8"/>
  <c r="P119" i="8" l="1"/>
  <c r="P118" i="8"/>
  <c r="P114" i="8"/>
  <c r="P116" i="8"/>
  <c r="P115" i="8"/>
  <c r="P117" i="8"/>
  <c r="L137" i="4"/>
  <c r="L133" i="4"/>
  <c r="L142" i="4"/>
  <c r="L141" i="4"/>
  <c r="L139" i="4"/>
  <c r="B140" i="4"/>
  <c r="K140" i="4"/>
  <c r="L136" i="4" s="1"/>
  <c r="L134" i="4"/>
  <c r="L140" i="4" l="1"/>
  <c r="L138" i="4"/>
  <c r="L135" i="4"/>
</calcChain>
</file>

<file path=xl/sharedStrings.xml><?xml version="1.0" encoding="utf-8"?>
<sst xmlns="http://schemas.openxmlformats.org/spreadsheetml/2006/main" count="1789" uniqueCount="497">
  <si>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</si>
  <si>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</si>
  <si>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</si>
  <si>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</si>
  <si>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</si>
  <si>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</si>
  <si>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</si>
  <si>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</si>
  <si>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</si>
  <si>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</si>
  <si>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</si>
  <si>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</si>
  <si>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</si>
  <si>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</si>
  <si>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</si>
  <si>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</si>
  <si>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</si>
  <si>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</si>
  <si>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</si>
  <si>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</si>
  <si>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</si>
  <si>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</si>
  <si>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</si>
  <si>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</si>
  <si>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</si>
  <si>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</si>
  <si>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</si>
  <si>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</si>
  <si>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</si>
  <si>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</si>
  <si>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</si>
  <si>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</si>
  <si>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</si>
  <si>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</si>
  <si>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</si>
  <si>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</si>
  <si>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</si>
  <si>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</si>
  <si>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</si>
  <si>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</si>
  <si>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</si>
  <si>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</si>
  <si>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</si>
  <si>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</si>
  <si>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</si>
  <si>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</si>
  <si>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</si>
  <si>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</si>
  <si>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</si>
  <si>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</si>
  <si>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</si>
  <si>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</si>
  <si>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</si>
  <si>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</si>
  <si>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</si>
  <si>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</si>
  <si>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</si>
  <si>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</si>
  <si>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</si>
  <si>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</si>
  <si>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</si>
  <si>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</si>
  <si>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</si>
  <si>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</si>
  <si>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</si>
  <si>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</si>
  <si>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</si>
  <si>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</si>
  <si>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</si>
  <si>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</si>
  <si>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</si>
  <si>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</si>
  <si>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</si>
  <si>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</si>
  <si>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</si>
  <si>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</si>
  <si>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</si>
  <si>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</si>
  <si>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</si>
  <si>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</si>
  <si>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</si>
  <si>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</si>
  <si>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</si>
  <si>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</si>
  <si>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</si>
  <si>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</si>
  <si>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</si>
  <si>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</si>
  <si>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</si>
  <si>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</si>
  <si>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</si>
  <si>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</si>
  <si>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</si>
  <si>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</si>
  <si>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</si>
  <si>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</si>
  <si>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</si>
  <si>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</si>
  <si>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</si>
  <si>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</si>
  <si>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</si>
  <si>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</si>
  <si>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</si>
  <si>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</si>
  <si>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</si>
  <si>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</si>
  <si>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</si>
  <si>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</si>
  <si>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</si>
  <si>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</si>
  <si>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</si>
  <si>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</si>
  <si>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</si>
  <si>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</si>
  <si>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</si>
  <si>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</si>
  <si>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</si>
  <si>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</si>
  <si>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</si>
  <si>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</si>
  <si>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</si>
  <si>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</si>
  <si>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</si>
  <si>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</si>
  <si>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</si>
  <si>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</si>
  <si>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</si>
  <si>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</si>
  <si>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</si>
  <si>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</si>
  <si>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</si>
  <si>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</si>
  <si>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</si>
  <si>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</si>
  <si>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</si>
  <si>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</si>
  <si>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</si>
  <si>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</si>
  <si>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</si>
  <si>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</si>
  <si>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</si>
  <si>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</si>
  <si>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</si>
  <si>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</si>
  <si>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</si>
  <si>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</si>
  <si>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</si>
  <si>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&lt;500 m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</si>
  <si>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</si>
  <si>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</si>
  <si>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</si>
  <si>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</si>
  <si>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</si>
  <si>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</si>
  <si>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</si>
  <si>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</si>
  <si>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</si>
  <si>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</si>
  <si>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</si>
  <si>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</si>
  <si>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</si>
  <si>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</si>
  <si>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</si>
  <si>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</si>
  <si>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</si>
  <si>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</si>
  <si>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</si>
  <si>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5. Menyusun data Alternatif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</si>
  <si>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</si>
  <si>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</si>
  <si>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</si>
  <si>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</si>
  <si>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</si>
  <si>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</si>
  <si>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</si>
  <si>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</si>
  <si>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</si>
  <si>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</si>
  <si>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</si>
  <si>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</si>
  <si>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</si>
  <si>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</si>
  <si>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</si>
  <si>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</si>
  <si>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</si>
  <si>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</si>
  <si>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</si>
  <si>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</si>
  <si>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</si>
  <si>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</si>
  <si>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</si>
  <si>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</si>
  <si>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</si>
  <si>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</si>
  <si>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</si>
  <si>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</si>
  <si>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</si>
  <si>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</si>
  <si>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</si>
  <si>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</si>
  <si>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</si>
  <si>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</si>
  <si>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</si>
  <si>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</si>
  <si>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</si>
  <si>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</si>
  <si>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</si>
  <si>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</si>
  <si>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</si>
  <si>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</si>
  <si>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</si>
  <si>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</si>
  <si>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</si>
  <si>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</si>
  <si>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</si>
  <si>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</si>
  <si>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</si>
  <si>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</si>
  <si>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</si>
  <si>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</si>
  <si>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</si>
  <si>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</si>
  <si>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</si>
  <si>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</si>
  <si>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</si>
  <si>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</si>
  <si>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</si>
  <si>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</si>
  <si>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</si>
  <si>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</si>
  <si>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</si>
  <si>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</si>
  <si>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</si>
  <si>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</si>
  <si>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</si>
  <si>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</si>
  <si>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</si>
  <si>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</si>
  <si>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</si>
  <si>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</si>
  <si>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</si>
  <si>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</si>
  <si>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</si>
  <si>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</si>
  <si>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</si>
  <si>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</si>
  <si>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</si>
  <si>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</si>
  <si>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</si>
  <si>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</si>
  <si>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</si>
  <si>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</si>
  <si>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</si>
  <si>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</si>
  <si>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</si>
  <si>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</si>
  <si>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</si>
  <si>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</si>
  <si>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</si>
  <si>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</si>
  <si>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</si>
  <si>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</si>
  <si>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</si>
  <si>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</si>
  <si>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</si>
  <si>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</si>
  <si>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</si>
  <si>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</si>
  <si>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</si>
  <si>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</si>
  <si>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</si>
  <si>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</si>
  <si>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</si>
  <si>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</si>
  <si>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</si>
  <si>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</si>
  <si>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</si>
  <si>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</si>
  <si>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</si>
  <si>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</si>
  <si>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</si>
  <si>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</si>
  <si>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</si>
  <si>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</si>
  <si>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</si>
  <si>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</si>
  <si>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</si>
  <si>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</si>
  <si>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</si>
  <si>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</si>
  <si>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</si>
  <si>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</si>
  <si>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</si>
  <si>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</si>
  <si>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</si>
  <si>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</si>
  <si>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</si>
  <si>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</si>
  <si>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</si>
  <si>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</si>
  <si>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</si>
  <si>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</si>
  <si>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</si>
  <si>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</si>
  <si>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</si>
  <si>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</si>
  <si>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</si>
  <si>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</si>
  <si>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</si>
  <si>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</si>
  <si>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</si>
  <si>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</si>
  <si>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</si>
  <si>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</si>
  <si>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</si>
  <si>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</si>
  <si>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</si>
  <si>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</si>
  <si>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</si>
  <si>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</si>
  <si>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</si>
  <si>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</si>
  <si>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</si>
  <si>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</si>
  <si>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jenis kost</t>
  </si>
  <si>
    <t>CCTV dan Penjaga</t>
  </si>
  <si>
    <t>bobot roc</t>
  </si>
  <si>
    <t>jenis pembayaran air</t>
  </si>
  <si>
    <t>umum</t>
  </si>
  <si>
    <t>khusus</t>
  </si>
  <si>
    <t>meteran</t>
  </si>
  <si>
    <t>pembayaran awal</t>
  </si>
  <si>
    <t>Bobot ROC</t>
  </si>
  <si>
    <t>&gt;3km</t>
  </si>
  <si>
    <t>&gt;=2km - 3km</t>
  </si>
  <si>
    <t>&gt;=1km - 2km</t>
  </si>
  <si>
    <t>&gt;=500m - 1km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</si>
  <si>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</si>
  <si>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</si>
  <si>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</si>
  <si>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</si>
  <si>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</si>
  <si>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</si>
  <si>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</si>
  <si>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</si>
  <si>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</si>
  <si>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</si>
  <si>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</si>
  <si>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</si>
  <si>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</si>
  <si>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</si>
  <si>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</si>
  <si>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</si>
  <si>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</si>
  <si>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</si>
  <si>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</si>
  <si>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</si>
  <si>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</si>
  <si>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</si>
  <si>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</si>
  <si>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</si>
  <si>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</si>
  <si>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</si>
  <si>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</si>
  <si>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</si>
  <si>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</si>
  <si>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</si>
  <si>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</si>
  <si>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</si>
  <si>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</si>
  <si>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</si>
  <si>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</si>
  <si>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</si>
  <si>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</si>
  <si>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</si>
  <si>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</si>
  <si>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</si>
  <si>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</si>
  <si>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</si>
  <si>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</si>
  <si>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</si>
  <si>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Bed,Kipas,
Lemari, Meja,
Wc Dalam,
Dapur Dalam, AC,Wifi, tempat parkir         </t>
  </si>
  <si>
    <t xml:space="preserve">Spring Bed, Kipas, Lemari, Meja, Wc Dalam,
Dapur Dalam, AC, Wifi, Tempat parkir         </t>
  </si>
  <si>
    <t>Spring Bed,
Lemari, tempat parkir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</si>
  <si>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</si>
  <si>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</si>
  <si>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</si>
  <si>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</si>
  <si>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</si>
  <si>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</si>
  <si>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22:00\</t>
  </si>
  <si>
    <t>&gt;=9</t>
  </si>
  <si>
    <t>&lt; 6M^2</t>
  </si>
  <si>
    <t>&gt;= 7M^2 - 9M^2</t>
  </si>
  <si>
    <t>&gt;= 10M^2 - 12M^2</t>
  </si>
  <si>
    <t>&gt;= 13M^2 - 16M^2</t>
  </si>
  <si>
    <t>&gt;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</si>
  <si>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</si>
  <si>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</si>
  <si>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</si>
  <si>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</si>
  <si>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</si>
  <si>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</si>
  <si>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</si>
  <si>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 xml:space="preserve"> 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</si>
  <si>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</si>
  <si>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</si>
  <si>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</si>
  <si>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</si>
  <si>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</si>
  <si>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</si>
  <si>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</si>
  <si>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</si>
  <si>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</si>
  <si>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</si>
  <si>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</si>
  <si>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</si>
  <si>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</si>
  <si>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</si>
  <si>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</si>
  <si>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</si>
  <si>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</si>
  <si>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</si>
  <si>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</si>
  <si>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</si>
  <si>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</si>
  <si>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</si>
  <si>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</si>
  <si>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</si>
  <si>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</si>
  <si>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</si>
  <si>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</si>
  <si>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</si>
  <si>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</si>
  <si>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</si>
  <si>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</si>
  <si>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</si>
  <si>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</si>
  <si>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</si>
  <si>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</si>
  <si>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</si>
  <si>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</si>
  <si>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</si>
  <si>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</si>
  <si>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</si>
  <si>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</si>
  <si>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</si>
  <si>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</si>
  <si>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</si>
  <si>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</si>
  <si>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</si>
  <si>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y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</si>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</sst>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2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2" fontId="0" fillId="2" borderId="0" xfId="0" applyNumberFormat="1" applyFill="1" applyAlignment="1">
      <alignment horizontal="center"/>
    </xf>
    <xf numFmtId="164" fontId="0" fillId="0" borderId="0" xfId="0" applyNumberFormat="1"/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10" fillId="0" borderId="4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3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13" fillId="0" borderId="0" xfId="1" applyAlignment="1">
      <alignment horizontal="center" wrapText="1"/>
    </xf>
    <xf numFmtId="0" fontId="13" fillId="0" borderId="0" xfId="1"/>
    <xf numFmtId="0" fontId="5" fillId="0" borderId="2" xfId="0" applyFont="1" applyBorder="1" applyAlignment="1">
      <alignment horizontal="left" vertical="center" wrapText="1"/>
    </xf>
    <xf numFmtId="20" fontId="0" fillId="0" borderId="0" xfId="0" applyNumberFormat="1"/>
  </cellXfs>
  <cellStyles count="2">
    <cellStyle name="Hyperlink" xfId="1" builtinId="8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5" Type="http://schemas.openxmlformats.org/officeDocument/2006/relationships/hyperlink" Target="mailto:anto@gmail.com" TargetMode="External"/><Relationship Id="rId4" Type="http://schemas.openxmlformats.org/officeDocument/2006/relationships/hyperlink" Target="mailto:kasman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abSelected="1" topLeftCell="A8" zoomScale="76" workbookViewId="0">
      <selection activeCell="P13" sqref="P13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29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1.5" x14ac:dyDescent="0.35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6" x14ac:dyDescent="0.35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6" x14ac:dyDescent="0.35">
      <c r="A5" s="9">
        <v>3</v>
      </c>
      <c r="B5" s="9">
        <v>3</v>
      </c>
      <c r="C5" s="9" t="s">
        <v>90</v>
      </c>
      <c r="D5" s="9" t="s">
        <v>94</v>
      </c>
      <c r="E5" s="9" t="s">
        <v>284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.5" x14ac:dyDescent="0.35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.5" x14ac:dyDescent="0.35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7" x14ac:dyDescent="0.35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.5" x14ac:dyDescent="0.35">
      <c r="A9" s="9">
        <v>7</v>
      </c>
      <c r="B9" s="9">
        <v>7</v>
      </c>
      <c r="C9" s="9" t="s">
        <v>303</v>
      </c>
      <c r="D9" s="9" t="s">
        <v>298</v>
      </c>
      <c r="E9" s="9" t="s">
        <v>304</v>
      </c>
      <c r="F9" s="14" t="s">
        <v>318</v>
      </c>
      <c r="G9" s="9" t="s">
        <v>126</v>
      </c>
      <c r="H9" s="14" t="s">
        <v>299</v>
      </c>
      <c r="I9" s="29" t="s">
        <v>309</v>
      </c>
      <c r="J9" s="9" t="s">
        <v>176</v>
      </c>
      <c r="K9" s="7" t="s">
        <v>301</v>
      </c>
      <c r="L9" s="9" t="s">
        <v>300</v>
      </c>
      <c r="M9" s="5" t="s">
        <v>325</v>
      </c>
      <c r="N9" s="5" t="s">
        <v>110</v>
      </c>
      <c r="O9" s="9" t="s">
        <v>302</v>
      </c>
      <c r="P9" s="5" t="s">
        <v>109</v>
      </c>
    </row>
    <row r="10" spans="1:16" ht="72.5" x14ac:dyDescent="0.35">
      <c r="A10" s="9">
        <v>8</v>
      </c>
      <c r="B10" s="9">
        <v>8</v>
      </c>
      <c r="C10" s="9" t="s">
        <v>305</v>
      </c>
      <c r="D10" s="9" t="s">
        <v>298</v>
      </c>
      <c r="E10" s="9" t="s">
        <v>313</v>
      </c>
      <c r="F10" s="8" t="s">
        <v>319</v>
      </c>
      <c r="G10" s="9" t="s">
        <v>312</v>
      </c>
      <c r="H10" s="2"/>
      <c r="I10" s="3"/>
      <c r="J10" s="9" t="s">
        <v>176</v>
      </c>
      <c r="K10" s="7" t="s">
        <v>301</v>
      </c>
      <c r="L10" s="9" t="s">
        <v>307</v>
      </c>
      <c r="M10" s="5" t="s">
        <v>108</v>
      </c>
      <c r="N10" s="5" t="s">
        <v>110</v>
      </c>
      <c r="O10" s="9" t="s">
        <v>308</v>
      </c>
      <c r="P10" s="5" t="s">
        <v>109</v>
      </c>
    </row>
    <row r="11" spans="1:16" ht="72.5" x14ac:dyDescent="0.35">
      <c r="A11" s="9">
        <v>9</v>
      </c>
      <c r="B11" s="9">
        <v>9</v>
      </c>
      <c r="C11" s="9" t="s">
        <v>306</v>
      </c>
      <c r="D11" s="9" t="s">
        <v>298</v>
      </c>
      <c r="E11" s="9" t="s">
        <v>314</v>
      </c>
      <c r="F11" s="8" t="s">
        <v>319</v>
      </c>
      <c r="G11" s="9" t="s">
        <v>312</v>
      </c>
      <c r="H11" s="14" t="s">
        <v>299</v>
      </c>
      <c r="I11" s="3" t="s">
        <v>310</v>
      </c>
      <c r="J11" s="9" t="s">
        <v>176</v>
      </c>
      <c r="K11" s="7" t="s">
        <v>301</v>
      </c>
      <c r="L11" s="9" t="s">
        <v>300</v>
      </c>
      <c r="M11" s="5" t="s">
        <v>108</v>
      </c>
      <c r="N11" s="5" t="s">
        <v>110</v>
      </c>
      <c r="O11" s="9" t="s">
        <v>311</v>
      </c>
      <c r="P11" s="5" t="s">
        <v>109</v>
      </c>
    </row>
    <row r="12" spans="1:16" ht="72.5" x14ac:dyDescent="0.35">
      <c r="A12" s="9">
        <v>10</v>
      </c>
      <c r="B12" s="9">
        <v>10</v>
      </c>
      <c r="C12" s="9" t="s">
        <v>317</v>
      </c>
      <c r="D12" s="9" t="s">
        <v>315</v>
      </c>
      <c r="E12" s="9" t="s">
        <v>316</v>
      </c>
      <c r="F12" s="8" t="s">
        <v>320</v>
      </c>
      <c r="G12" s="9" t="s">
        <v>312</v>
      </c>
      <c r="H12" s="8" t="s">
        <v>321</v>
      </c>
      <c r="I12" s="7" t="s">
        <v>323</v>
      </c>
      <c r="J12" s="9" t="s">
        <v>176</v>
      </c>
      <c r="K12" s="7" t="s">
        <v>301</v>
      </c>
      <c r="L12" s="9" t="s">
        <v>300</v>
      </c>
      <c r="M12" s="5" t="s">
        <v>108</v>
      </c>
      <c r="N12" s="5" t="s">
        <v>110</v>
      </c>
      <c r="O12" s="9" t="s">
        <v>322</v>
      </c>
      <c r="P12" s="5" t="s">
        <v>109</v>
      </c>
    </row>
    <row r="13" spans="1:16" ht="72.5" x14ac:dyDescent="0.35">
      <c r="A13" s="9">
        <v>11</v>
      </c>
      <c r="B13" s="9">
        <v>11</v>
      </c>
      <c r="C13" s="9" t="s">
        <v>454</v>
      </c>
      <c r="D13" s="9" t="s">
        <v>458</v>
      </c>
      <c r="E13" s="9" t="s">
        <v>455</v>
      </c>
      <c r="F13" s="2" t="s">
        <v>459</v>
      </c>
      <c r="G13" s="9" t="s">
        <v>456</v>
      </c>
      <c r="H13" s="2" t="s">
        <v>463</v>
      </c>
      <c r="I13" s="3" t="s">
        <v>465</v>
      </c>
      <c r="J13" s="9" t="s">
        <v>176</v>
      </c>
      <c r="K13" s="7" t="s">
        <v>104</v>
      </c>
      <c r="L13" s="9" t="s">
        <v>300</v>
      </c>
      <c r="M13" s="5" t="s">
        <v>457</v>
      </c>
      <c r="O13" s="9" t="s">
        <v>60</v>
      </c>
    </row>
    <row r="14" spans="1:16" ht="43.5" x14ac:dyDescent="0.35">
      <c r="A14" s="9">
        <v>12</v>
      </c>
      <c r="B14" s="9">
        <v>12</v>
      </c>
      <c r="C14" s="9" t="s">
        <v>461</v>
      </c>
      <c r="D14" s="9" t="s">
        <v>460</v>
      </c>
      <c r="E14" s="9" t="s">
        <v>462</v>
      </c>
      <c r="F14" s="2"/>
      <c r="G14" s="9" t="s">
        <v>126</v>
      </c>
      <c r="H14" s="2" t="s">
        <v>464</v>
      </c>
      <c r="I14" s="3" t="s">
        <v>480</v>
      </c>
      <c r="J14" s="9" t="s">
        <v>176</v>
      </c>
      <c r="K14" s="7" t="s">
        <v>466</v>
      </c>
      <c r="L14" s="9" t="s">
        <v>300</v>
      </c>
      <c r="M14" s="5" t="s">
        <v>457</v>
      </c>
      <c r="O14" s="9" t="s">
        <v>467</v>
      </c>
    </row>
    <row r="15" spans="1:16" ht="29" x14ac:dyDescent="0.35">
      <c r="A15" s="9">
        <v>13</v>
      </c>
      <c r="B15" s="9">
        <v>13</v>
      </c>
      <c r="C15" s="9" t="s">
        <v>468</v>
      </c>
      <c r="D15" s="9" t="s">
        <v>469</v>
      </c>
      <c r="E15" s="9" t="s">
        <v>462</v>
      </c>
      <c r="F15" s="2" t="s">
        <v>473</v>
      </c>
      <c r="G15" s="9" t="s">
        <v>126</v>
      </c>
      <c r="H15" s="2" t="s">
        <v>470</v>
      </c>
      <c r="I15" s="3" t="s">
        <v>479</v>
      </c>
      <c r="J15" s="9" t="s">
        <v>105</v>
      </c>
      <c r="K15" s="7" t="s">
        <v>471</v>
      </c>
      <c r="L15" s="9" t="s">
        <v>300</v>
      </c>
      <c r="M15" s="5" t="s">
        <v>400</v>
      </c>
      <c r="O15" s="9" t="s">
        <v>472</v>
      </c>
    </row>
    <row r="16" spans="1:16" ht="43.5" x14ac:dyDescent="0.35">
      <c r="A16" s="9">
        <v>14</v>
      </c>
      <c r="B16" s="9">
        <v>14</v>
      </c>
      <c r="C16" s="9" t="s">
        <v>474</v>
      </c>
      <c r="D16" s="9" t="s">
        <v>475</v>
      </c>
      <c r="E16" s="9" t="s">
        <v>477</v>
      </c>
      <c r="F16" s="2" t="s">
        <v>476</v>
      </c>
      <c r="G16" s="9" t="s">
        <v>126</v>
      </c>
      <c r="H16" s="2" t="s">
        <v>478</v>
      </c>
      <c r="I16" s="3" t="s">
        <v>481</v>
      </c>
      <c r="J16" s="9" t="s">
        <v>105</v>
      </c>
      <c r="K16" s="7" t="s">
        <v>301</v>
      </c>
      <c r="L16" s="9" t="s">
        <v>482</v>
      </c>
      <c r="M16" s="5" t="s">
        <v>457</v>
      </c>
      <c r="O16" s="9" t="s">
        <v>483</v>
      </c>
    </row>
    <row r="17" spans="1:15" ht="58" x14ac:dyDescent="0.35">
      <c r="A17" s="9">
        <v>15</v>
      </c>
      <c r="B17" s="9">
        <v>15</v>
      </c>
      <c r="C17" s="9" t="s">
        <v>484</v>
      </c>
      <c r="D17" s="9" t="s">
        <v>489</v>
      </c>
      <c r="E17" s="9" t="s">
        <v>485</v>
      </c>
      <c r="F17" s="2" t="s">
        <v>490</v>
      </c>
      <c r="G17" s="9" t="s">
        <v>126</v>
      </c>
      <c r="H17" s="2" t="s">
        <v>486</v>
      </c>
      <c r="I17" s="3" t="s">
        <v>487</v>
      </c>
      <c r="J17" s="9" t="s">
        <v>366</v>
      </c>
      <c r="K17" s="7" t="s">
        <v>488</v>
      </c>
      <c r="L17" s="9" t="s">
        <v>300</v>
      </c>
      <c r="M17" s="5" t="s">
        <v>400</v>
      </c>
      <c r="O17" s="9" t="s">
        <v>472</v>
      </c>
    </row>
    <row r="18" spans="1:15" ht="43.5" x14ac:dyDescent="0.35">
      <c r="A18" s="9">
        <v>16</v>
      </c>
      <c r="B18" s="9">
        <v>16</v>
      </c>
      <c r="C18" s="9" t="s">
        <v>491</v>
      </c>
      <c r="D18" s="9" t="s">
        <v>492</v>
      </c>
      <c r="E18" s="9" t="s">
        <v>493</v>
      </c>
      <c r="F18" s="2" t="s">
        <v>494</v>
      </c>
      <c r="G18" s="9" t="s">
        <v>126</v>
      </c>
      <c r="H18" s="2" t="s">
        <v>495</v>
      </c>
      <c r="I18" s="3" t="s">
        <v>496</v>
      </c>
      <c r="J18" s="9" t="s">
        <v>105</v>
      </c>
      <c r="K18" s="7" t="s">
        <v>488</v>
      </c>
      <c r="L18" s="9" t="s">
        <v>300</v>
      </c>
      <c r="M18" s="5" t="s">
        <v>457</v>
      </c>
      <c r="O18" s="9" t="s">
        <v>472</v>
      </c>
    </row>
    <row r="19" spans="1:15" x14ac:dyDescent="0.35">
      <c r="B19" s="9"/>
      <c r="F19" s="2"/>
      <c r="H19" s="2"/>
      <c r="I19" s="3"/>
    </row>
    <row r="20" spans="1:15" x14ac:dyDescent="0.35">
      <c r="B20" s="9"/>
      <c r="F20" s="2"/>
      <c r="H20" s="2"/>
      <c r="I20" s="3"/>
    </row>
    <row r="21" spans="1:15" x14ac:dyDescent="0.35">
      <c r="B21" s="9"/>
      <c r="F21" s="2"/>
      <c r="I21" s="3"/>
    </row>
    <row r="22" spans="1:15" x14ac:dyDescent="0.35">
      <c r="B22" s="9"/>
      <c r="F22" s="2"/>
      <c r="I22" s="3"/>
    </row>
    <row r="23" spans="1:15" x14ac:dyDescent="0.35">
      <c r="B23" s="9"/>
      <c r="F23" s="2"/>
      <c r="N23" s="28"/>
    </row>
    <row r="24" spans="1:15" x14ac:dyDescent="0.35">
      <c r="B24" s="9"/>
      <c r="F24" s="2"/>
    </row>
    <row r="25" spans="1:15" x14ac:dyDescent="0.35">
      <c r="B25" s="9"/>
      <c r="F25" s="2"/>
    </row>
    <row r="26" spans="1:15" x14ac:dyDescent="0.35">
      <c r="B26" s="9"/>
    </row>
    <row r="27" spans="1:15" x14ac:dyDescent="0.35">
      <c r="B27" s="9"/>
    </row>
    <row r="28" spans="1:15" x14ac:dyDescent="0.35">
      <c r="B28" s="9"/>
    </row>
    <row r="29" spans="1:15" x14ac:dyDescent="0.35">
      <c r="B29" s="9"/>
    </row>
    <row r="30" spans="1:15" x14ac:dyDescent="0.35">
      <c r="B30" s="9"/>
    </row>
    <row r="31" spans="1:15" x14ac:dyDescent="0.35">
      <c r="B31" s="9"/>
    </row>
    <row r="32" spans="1:15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4" workbookViewId="0">
      <selection activeCell="L2" sqref="L2"/>
    </sheetView>
  </sheetViews>
  <sheetFormatPr defaultRowHeight="14.5" x14ac:dyDescent="0.35"/>
  <cols>
    <col min="1" max="1" width="10.36328125" customWidth="1"/>
    <col min="2" max="2" width="19.1796875" customWidth="1"/>
    <col min="3" max="3" width="16.08984375" customWidth="1"/>
    <col min="4" max="4" width="24.6328125" customWidth="1"/>
    <col min="5" max="5" width="14" customWidth="1"/>
    <col min="6" max="6" width="13.54296875" customWidth="1"/>
    <col min="7" max="7" width="14.1796875" customWidth="1"/>
    <col min="8" max="8" width="16.1796875" customWidth="1"/>
    <col min="9" max="9" width="23.6328125" customWidth="1"/>
    <col min="10" max="10" width="14.6328125" customWidth="1"/>
    <col min="11" max="11" width="21.90625" customWidth="1"/>
    <col min="12" max="12" width="27.453125" customWidth="1"/>
    <col min="13" max="13" width="20.1796875" customWidth="1"/>
    <col min="14" max="14" width="22.6328125" customWidth="1"/>
    <col min="15" max="15" width="16.1796875" customWidth="1"/>
    <col min="16" max="16" width="15.08984375" customWidth="1"/>
  </cols>
  <sheetData>
    <row r="1" spans="1:16" x14ac:dyDescent="0.35">
      <c r="A1" s="16" t="s">
        <v>149</v>
      </c>
      <c r="B1" s="16" t="s">
        <v>78</v>
      </c>
      <c r="C1" s="16" t="s">
        <v>83</v>
      </c>
      <c r="D1" s="16" t="s">
        <v>1</v>
      </c>
      <c r="E1" s="16" t="s">
        <v>337</v>
      </c>
      <c r="F1" s="16" t="s">
        <v>338</v>
      </c>
      <c r="G1" s="16" t="s">
        <v>2</v>
      </c>
      <c r="H1" s="16" t="s">
        <v>4</v>
      </c>
      <c r="I1" s="16" t="s">
        <v>339</v>
      </c>
      <c r="J1" s="16" t="s">
        <v>82</v>
      </c>
      <c r="K1" s="54" t="s">
        <v>79</v>
      </c>
      <c r="L1" s="54" t="s">
        <v>80</v>
      </c>
      <c r="M1" s="55" t="s">
        <v>81</v>
      </c>
      <c r="N1" s="54" t="s">
        <v>413</v>
      </c>
      <c r="O1" s="57" t="s">
        <v>426</v>
      </c>
      <c r="P1" s="54" t="s">
        <v>427</v>
      </c>
    </row>
    <row r="2" spans="1:16" ht="58" x14ac:dyDescent="0.35">
      <c r="A2" s="7" t="s">
        <v>168</v>
      </c>
      <c r="B2" s="7" t="s">
        <v>88</v>
      </c>
      <c r="C2" s="7" t="s">
        <v>340</v>
      </c>
      <c r="D2" s="7" t="s">
        <v>380</v>
      </c>
      <c r="E2" s="7" t="s">
        <v>105</v>
      </c>
      <c r="F2" s="7" t="s">
        <v>341</v>
      </c>
      <c r="G2" s="7" t="s">
        <v>342</v>
      </c>
      <c r="H2" s="7" t="s">
        <v>343</v>
      </c>
      <c r="I2" s="7" t="s">
        <v>344</v>
      </c>
      <c r="J2" s="7"/>
      <c r="K2" s="9" t="s">
        <v>94</v>
      </c>
      <c r="L2" s="12" t="s">
        <v>417</v>
      </c>
      <c r="M2" s="8" t="s">
        <v>96</v>
      </c>
      <c r="N2" s="9" t="s">
        <v>407</v>
      </c>
      <c r="O2" s="58" t="s">
        <v>428</v>
      </c>
      <c r="P2" s="9" t="s">
        <v>430</v>
      </c>
    </row>
    <row r="3" spans="1:16" ht="72.5" x14ac:dyDescent="0.35">
      <c r="A3" s="7" t="s">
        <v>169</v>
      </c>
      <c r="B3" s="7" t="s">
        <v>89</v>
      </c>
      <c r="C3" s="7" t="s">
        <v>345</v>
      </c>
      <c r="D3" s="7" t="s">
        <v>381</v>
      </c>
      <c r="E3" s="7" t="s">
        <v>105</v>
      </c>
      <c r="F3" s="7" t="s">
        <v>341</v>
      </c>
      <c r="G3" s="7" t="s">
        <v>342</v>
      </c>
      <c r="H3" s="7" t="s">
        <v>343</v>
      </c>
      <c r="I3" s="7" t="s">
        <v>402</v>
      </c>
      <c r="J3" s="7"/>
      <c r="K3" s="9" t="s">
        <v>94</v>
      </c>
      <c r="L3" s="12" t="s">
        <v>418</v>
      </c>
      <c r="M3" s="8" t="s">
        <v>96</v>
      </c>
      <c r="N3" s="9" t="s">
        <v>406</v>
      </c>
      <c r="O3" s="58" t="s">
        <v>428</v>
      </c>
      <c r="P3" s="9" t="s">
        <v>430</v>
      </c>
    </row>
    <row r="4" spans="1:16" ht="58" x14ac:dyDescent="0.35">
      <c r="A4" s="7" t="s">
        <v>170</v>
      </c>
      <c r="B4" s="7" t="s">
        <v>90</v>
      </c>
      <c r="C4" s="7" t="s">
        <v>346</v>
      </c>
      <c r="D4" s="7" t="s">
        <v>382</v>
      </c>
      <c r="E4" s="7" t="s">
        <v>105</v>
      </c>
      <c r="F4" s="7" t="s">
        <v>341</v>
      </c>
      <c r="G4" s="7" t="s">
        <v>347</v>
      </c>
      <c r="H4" s="7" t="s">
        <v>343</v>
      </c>
      <c r="I4" s="7" t="s">
        <v>344</v>
      </c>
      <c r="J4" s="7"/>
      <c r="K4" s="9" t="s">
        <v>94</v>
      </c>
      <c r="L4" s="12" t="s">
        <v>419</v>
      </c>
      <c r="M4" s="8" t="s">
        <v>96</v>
      </c>
      <c r="N4" s="9" t="s">
        <v>405</v>
      </c>
      <c r="O4" s="58" t="s">
        <v>428</v>
      </c>
      <c r="P4" s="9" t="s">
        <v>430</v>
      </c>
    </row>
    <row r="5" spans="1:16" ht="58" x14ac:dyDescent="0.35">
      <c r="A5" s="7" t="s">
        <v>223</v>
      </c>
      <c r="B5" s="7" t="s">
        <v>348</v>
      </c>
      <c r="C5" s="7" t="s">
        <v>349</v>
      </c>
      <c r="D5" s="7" t="s">
        <v>383</v>
      </c>
      <c r="E5" s="7" t="s">
        <v>177</v>
      </c>
      <c r="F5" s="7" t="s">
        <v>341</v>
      </c>
      <c r="G5" s="7" t="s">
        <v>350</v>
      </c>
      <c r="H5" s="7" t="s">
        <v>343</v>
      </c>
      <c r="I5" s="7" t="s">
        <v>351</v>
      </c>
      <c r="J5" s="7" t="s">
        <v>126</v>
      </c>
      <c r="K5" s="9" t="s">
        <v>124</v>
      </c>
      <c r="L5" s="12" t="s">
        <v>420</v>
      </c>
      <c r="M5" s="8" t="s">
        <v>127</v>
      </c>
      <c r="N5" s="9" t="s">
        <v>408</v>
      </c>
      <c r="O5" s="56" t="s">
        <v>429</v>
      </c>
      <c r="P5" s="12" t="s">
        <v>431</v>
      </c>
    </row>
    <row r="6" spans="1:16" ht="58" x14ac:dyDescent="0.35">
      <c r="A6" s="7" t="s">
        <v>229</v>
      </c>
      <c r="B6" s="7" t="s">
        <v>91</v>
      </c>
      <c r="C6" s="7" t="s">
        <v>346</v>
      </c>
      <c r="D6" s="7" t="s">
        <v>384</v>
      </c>
      <c r="E6" s="7" t="s">
        <v>105</v>
      </c>
      <c r="F6" s="7" t="s">
        <v>341</v>
      </c>
      <c r="G6" s="7" t="s">
        <v>342</v>
      </c>
      <c r="H6" s="7" t="s">
        <v>343</v>
      </c>
      <c r="I6" s="7" t="s">
        <v>402</v>
      </c>
      <c r="J6" s="7" t="s">
        <v>114</v>
      </c>
      <c r="K6" s="9" t="s">
        <v>111</v>
      </c>
      <c r="L6" s="12" t="s">
        <v>421</v>
      </c>
      <c r="M6" s="8" t="s">
        <v>112</v>
      </c>
      <c r="N6" s="12" t="s">
        <v>409</v>
      </c>
      <c r="O6" s="59" t="s">
        <v>432</v>
      </c>
      <c r="P6" s="9" t="s">
        <v>433</v>
      </c>
    </row>
    <row r="7" spans="1:16" ht="58" x14ac:dyDescent="0.35">
      <c r="A7" s="7" t="s">
        <v>234</v>
      </c>
      <c r="B7" s="7" t="s">
        <v>92</v>
      </c>
      <c r="C7" s="7" t="s">
        <v>346</v>
      </c>
      <c r="D7" s="7" t="s">
        <v>385</v>
      </c>
      <c r="E7" s="7" t="s">
        <v>105</v>
      </c>
      <c r="F7" s="7" t="s">
        <v>341</v>
      </c>
      <c r="G7" s="7" t="s">
        <v>352</v>
      </c>
      <c r="H7" s="7" t="s">
        <v>343</v>
      </c>
      <c r="I7" s="7" t="s">
        <v>402</v>
      </c>
      <c r="J7" s="7" t="s">
        <v>126</v>
      </c>
      <c r="K7" s="12" t="s">
        <v>129</v>
      </c>
      <c r="L7" s="12" t="s">
        <v>418</v>
      </c>
      <c r="M7" s="14" t="s">
        <v>130</v>
      </c>
      <c r="N7" s="9" t="s">
        <v>410</v>
      </c>
      <c r="O7" s="59" t="s">
        <v>434</v>
      </c>
      <c r="P7" s="9" t="s">
        <v>436</v>
      </c>
    </row>
    <row r="8" spans="1:16" ht="43.5" x14ac:dyDescent="0.35">
      <c r="A8" s="7" t="s">
        <v>353</v>
      </c>
      <c r="B8" s="7" t="s">
        <v>303</v>
      </c>
      <c r="C8" s="7" t="s">
        <v>354</v>
      </c>
      <c r="D8" s="7" t="s">
        <v>386</v>
      </c>
      <c r="E8" s="7" t="s">
        <v>105</v>
      </c>
      <c r="F8" s="7" t="s">
        <v>355</v>
      </c>
      <c r="G8" s="7" t="s">
        <v>342</v>
      </c>
      <c r="H8" s="7" t="s">
        <v>343</v>
      </c>
      <c r="I8" s="7" t="s">
        <v>403</v>
      </c>
      <c r="J8" s="7" t="s">
        <v>126</v>
      </c>
      <c r="K8" s="9" t="s">
        <v>298</v>
      </c>
      <c r="L8" s="12" t="s">
        <v>422</v>
      </c>
      <c r="M8" s="14" t="s">
        <v>318</v>
      </c>
      <c r="N8" s="9" t="s">
        <v>411</v>
      </c>
      <c r="O8" s="59" t="s">
        <v>435</v>
      </c>
      <c r="P8" s="9" t="s">
        <v>437</v>
      </c>
    </row>
    <row r="9" spans="1:16" ht="43.5" x14ac:dyDescent="0.35">
      <c r="A9" s="7" t="s">
        <v>356</v>
      </c>
      <c r="B9" s="7" t="s">
        <v>305</v>
      </c>
      <c r="C9" s="7" t="s">
        <v>357</v>
      </c>
      <c r="D9" s="7" t="s">
        <v>387</v>
      </c>
      <c r="E9" s="7" t="s">
        <v>105</v>
      </c>
      <c r="F9" s="7" t="s">
        <v>355</v>
      </c>
      <c r="G9" s="7" t="s">
        <v>350</v>
      </c>
      <c r="H9" s="7" t="s">
        <v>343</v>
      </c>
      <c r="I9" s="7" t="s">
        <v>351</v>
      </c>
      <c r="J9" s="7" t="s">
        <v>114</v>
      </c>
      <c r="K9" s="9" t="s">
        <v>298</v>
      </c>
      <c r="L9" s="12" t="s">
        <v>423</v>
      </c>
      <c r="M9" s="8" t="s">
        <v>319</v>
      </c>
      <c r="N9" s="9" t="s">
        <v>412</v>
      </c>
      <c r="O9" s="59" t="s">
        <v>435</v>
      </c>
      <c r="P9" s="9" t="s">
        <v>437</v>
      </c>
    </row>
    <row r="10" spans="1:16" ht="58" x14ac:dyDescent="0.35">
      <c r="A10" s="7" t="s">
        <v>358</v>
      </c>
      <c r="B10" s="7" t="s">
        <v>306</v>
      </c>
      <c r="C10" s="7" t="s">
        <v>354</v>
      </c>
      <c r="D10" s="7" t="s">
        <v>388</v>
      </c>
      <c r="E10" s="7" t="s">
        <v>105</v>
      </c>
      <c r="F10" s="7" t="s">
        <v>355</v>
      </c>
      <c r="G10" s="7" t="s">
        <v>342</v>
      </c>
      <c r="H10" s="7" t="s">
        <v>343</v>
      </c>
      <c r="I10" s="7" t="s">
        <v>351</v>
      </c>
      <c r="J10" s="7" t="s">
        <v>114</v>
      </c>
      <c r="K10" s="9" t="s">
        <v>298</v>
      </c>
      <c r="L10" s="12" t="s">
        <v>424</v>
      </c>
      <c r="M10" s="8" t="s">
        <v>319</v>
      </c>
      <c r="N10" s="9" t="s">
        <v>414</v>
      </c>
      <c r="O10" s="59" t="s">
        <v>435</v>
      </c>
      <c r="P10" s="9" t="s">
        <v>437</v>
      </c>
    </row>
    <row r="11" spans="1:16" ht="58" x14ac:dyDescent="0.35">
      <c r="A11" s="7" t="s">
        <v>359</v>
      </c>
      <c r="B11" s="7" t="s">
        <v>317</v>
      </c>
      <c r="C11" s="7" t="s">
        <v>360</v>
      </c>
      <c r="D11" s="7" t="s">
        <v>389</v>
      </c>
      <c r="E11" s="7" t="s">
        <v>105</v>
      </c>
      <c r="F11" s="7" t="s">
        <v>355</v>
      </c>
      <c r="G11" s="7" t="s">
        <v>342</v>
      </c>
      <c r="H11" s="7" t="s">
        <v>343</v>
      </c>
      <c r="I11" s="7" t="s">
        <v>351</v>
      </c>
      <c r="J11" s="7" t="s">
        <v>114</v>
      </c>
      <c r="K11" s="9" t="s">
        <v>315</v>
      </c>
      <c r="L11" s="12" t="s">
        <v>425</v>
      </c>
      <c r="M11" s="8" t="s">
        <v>320</v>
      </c>
      <c r="N11" s="9" t="s">
        <v>415</v>
      </c>
    </row>
    <row r="27" spans="2:2" x14ac:dyDescent="0.35">
      <c r="B27" t="s">
        <v>416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V27"/>
  <sheetViews>
    <sheetView zoomScale="117" workbookViewId="0">
      <selection activeCell="G15" sqref="G15"/>
    </sheetView>
  </sheetViews>
  <sheetFormatPr defaultRowHeight="14.5" x14ac:dyDescent="0.35"/>
  <cols>
    <col min="1" max="1" width="20.81640625" customWidth="1"/>
    <col min="3" max="4" width="25" customWidth="1"/>
    <col min="7" max="7" width="26" customWidth="1"/>
    <col min="11" max="11" width="15" customWidth="1"/>
    <col min="15" max="15" width="18.81640625" customWidth="1"/>
    <col min="19" max="19" width="15" customWidth="1"/>
    <col min="22" max="22" width="19.90625" customWidth="1"/>
  </cols>
  <sheetData>
    <row r="1" spans="1:22" x14ac:dyDescent="0.35">
      <c r="A1" s="1" t="s">
        <v>10</v>
      </c>
      <c r="B1" s="1" t="s">
        <v>11</v>
      </c>
      <c r="C1" s="1" t="s">
        <v>18</v>
      </c>
      <c r="D1" s="1" t="s">
        <v>326</v>
      </c>
      <c r="F1" t="s">
        <v>17</v>
      </c>
      <c r="V1" t="s">
        <v>40</v>
      </c>
    </row>
    <row r="2" spans="1:22" x14ac:dyDescent="0.35">
      <c r="A2" s="1" t="s">
        <v>0</v>
      </c>
      <c r="B2" s="1">
        <f>Ressponden!B2</f>
        <v>18.399999999999999</v>
      </c>
      <c r="C2" s="1" t="s">
        <v>19</v>
      </c>
      <c r="D2" s="1">
        <f>(1 + (1/9) + (1/9)/9)</f>
        <v>1.1234567901234569</v>
      </c>
      <c r="V2" t="s">
        <v>64</v>
      </c>
    </row>
    <row r="3" spans="1:22" x14ac:dyDescent="0.35">
      <c r="A3" s="1" t="s">
        <v>1</v>
      </c>
      <c r="B3" s="1">
        <f>Ressponden!B3</f>
        <v>11.2</v>
      </c>
      <c r="C3" s="1" t="s">
        <v>20</v>
      </c>
      <c r="D3" s="1"/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5">
      <c r="A4" s="1" t="s">
        <v>2</v>
      </c>
      <c r="B4" s="1">
        <f>Ressponden!B4</f>
        <v>10.6</v>
      </c>
      <c r="C4" s="1" t="s">
        <v>21</v>
      </c>
      <c r="D4" s="1"/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5">
      <c r="A5" s="1" t="s">
        <v>3</v>
      </c>
      <c r="B5" s="1">
        <f>Ressponden!B5</f>
        <v>11.6</v>
      </c>
      <c r="C5" s="1" t="s">
        <v>22</v>
      </c>
      <c r="D5" s="1"/>
      <c r="G5" t="s">
        <v>31</v>
      </c>
      <c r="H5">
        <v>1</v>
      </c>
      <c r="K5" t="s">
        <v>51</v>
      </c>
      <c r="L5">
        <v>1</v>
      </c>
      <c r="O5">
        <v>1</v>
      </c>
      <c r="P5">
        <v>1</v>
      </c>
      <c r="V5" t="s">
        <v>66</v>
      </c>
    </row>
    <row r="6" spans="1:22" x14ac:dyDescent="0.35">
      <c r="A6" s="1" t="s">
        <v>4</v>
      </c>
      <c r="B6" s="1">
        <f>Ressponden!B6</f>
        <v>14.2</v>
      </c>
      <c r="C6" s="1" t="s">
        <v>23</v>
      </c>
      <c r="D6" s="1"/>
      <c r="G6" t="s">
        <v>32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5">
      <c r="A7" s="1" t="s">
        <v>5</v>
      </c>
      <c r="B7" s="1">
        <f>Ressponden!B7</f>
        <v>7.2</v>
      </c>
      <c r="C7" s="1" t="s">
        <v>24</v>
      </c>
      <c r="D7" s="1"/>
      <c r="G7" t="s">
        <v>33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5">
      <c r="A8" s="1" t="s">
        <v>324</v>
      </c>
      <c r="B8" s="1">
        <f>Ressponden!B8</f>
        <v>7</v>
      </c>
      <c r="C8" s="1" t="s">
        <v>25</v>
      </c>
      <c r="D8" s="1"/>
      <c r="G8" t="s">
        <v>34</v>
      </c>
      <c r="H8">
        <v>4</v>
      </c>
      <c r="K8" t="s">
        <v>54</v>
      </c>
      <c r="L8">
        <v>4</v>
      </c>
      <c r="O8">
        <v>4</v>
      </c>
      <c r="P8">
        <v>4</v>
      </c>
      <c r="V8" t="s">
        <v>1</v>
      </c>
    </row>
    <row r="9" spans="1:22" x14ac:dyDescent="0.35">
      <c r="A9" s="1" t="s">
        <v>7</v>
      </c>
      <c r="B9" s="1">
        <f>Ressponden!B9</f>
        <v>6</v>
      </c>
      <c r="C9" s="1" t="s">
        <v>26</v>
      </c>
      <c r="D9" s="1"/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  <c r="V9" t="s">
        <v>134</v>
      </c>
    </row>
    <row r="10" spans="1:22" x14ac:dyDescent="0.35">
      <c r="A10" s="1" t="s">
        <v>8</v>
      </c>
      <c r="B10" s="1">
        <f>Ressponden!B10</f>
        <v>7</v>
      </c>
      <c r="C10" s="1" t="s">
        <v>27</v>
      </c>
      <c r="D10" s="1"/>
      <c r="V10" t="s">
        <v>72</v>
      </c>
    </row>
    <row r="11" spans="1:22" x14ac:dyDescent="0.35">
      <c r="A11" s="1" t="s">
        <v>327</v>
      </c>
      <c r="B11" s="1">
        <f>Ressponden!B11</f>
        <v>6.8</v>
      </c>
      <c r="C11" s="1" t="s">
        <v>28</v>
      </c>
      <c r="D11" s="1"/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  <c r="V11" t="s">
        <v>73</v>
      </c>
    </row>
    <row r="12" spans="1:22" x14ac:dyDescent="0.35">
      <c r="B12">
        <f>Ressponden!B12</f>
        <v>100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  <c r="V12" t="s">
        <v>74</v>
      </c>
    </row>
    <row r="13" spans="1:22" x14ac:dyDescent="0.35">
      <c r="G13" t="s">
        <v>140</v>
      </c>
      <c r="H13">
        <v>1</v>
      </c>
      <c r="K13" t="s">
        <v>56</v>
      </c>
      <c r="L13">
        <v>1</v>
      </c>
      <c r="O13" t="s">
        <v>176</v>
      </c>
      <c r="P13">
        <v>1</v>
      </c>
      <c r="S13" t="s">
        <v>68</v>
      </c>
      <c r="T13">
        <v>1</v>
      </c>
      <c r="V13" t="s">
        <v>75</v>
      </c>
    </row>
    <row r="14" spans="1:22" x14ac:dyDescent="0.35">
      <c r="G14" t="s">
        <v>180</v>
      </c>
      <c r="H14">
        <v>2</v>
      </c>
      <c r="K14" t="s">
        <v>142</v>
      </c>
      <c r="L14">
        <v>2</v>
      </c>
      <c r="O14" t="s">
        <v>175</v>
      </c>
      <c r="P14">
        <v>2</v>
      </c>
      <c r="S14" t="s">
        <v>69</v>
      </c>
      <c r="T14">
        <v>2</v>
      </c>
      <c r="V14" t="s">
        <v>76</v>
      </c>
    </row>
    <row r="15" spans="1:22" x14ac:dyDescent="0.35">
      <c r="G15" t="s">
        <v>181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  <c r="V15" t="s">
        <v>74</v>
      </c>
    </row>
    <row r="16" spans="1:22" x14ac:dyDescent="0.35">
      <c r="A16" t="s">
        <v>10</v>
      </c>
      <c r="B16" t="s">
        <v>36</v>
      </c>
      <c r="G16" t="s">
        <v>182</v>
      </c>
      <c r="H16">
        <v>4</v>
      </c>
      <c r="K16" t="s">
        <v>58</v>
      </c>
      <c r="L16">
        <v>4</v>
      </c>
      <c r="S16" t="s">
        <v>71</v>
      </c>
      <c r="T16">
        <v>4</v>
      </c>
      <c r="V16" t="s">
        <v>135</v>
      </c>
    </row>
    <row r="17" spans="1:22" ht="43.5" x14ac:dyDescent="0.35">
      <c r="A17" t="s">
        <v>0</v>
      </c>
      <c r="B17" t="s">
        <v>37</v>
      </c>
      <c r="C17" t="s">
        <v>44</v>
      </c>
      <c r="G17" t="s">
        <v>141</v>
      </c>
      <c r="H17">
        <v>5</v>
      </c>
      <c r="K17" s="3" t="s">
        <v>143</v>
      </c>
      <c r="L17">
        <v>5</v>
      </c>
      <c r="V17" t="s">
        <v>138</v>
      </c>
    </row>
    <row r="18" spans="1:22" x14ac:dyDescent="0.35">
      <c r="A18" t="s">
        <v>1</v>
      </c>
      <c r="B18" t="s">
        <v>38</v>
      </c>
      <c r="C18" t="s">
        <v>45</v>
      </c>
      <c r="N18" t="s">
        <v>27</v>
      </c>
      <c r="O18" t="s">
        <v>42</v>
      </c>
      <c r="V18" t="s">
        <v>139</v>
      </c>
    </row>
    <row r="19" spans="1:22" x14ac:dyDescent="0.35">
      <c r="A19" t="s">
        <v>2</v>
      </c>
      <c r="B19" t="s">
        <v>38</v>
      </c>
      <c r="C19" t="s">
        <v>45</v>
      </c>
      <c r="O19" t="s">
        <v>29</v>
      </c>
      <c r="P19" t="s">
        <v>11</v>
      </c>
    </row>
    <row r="20" spans="1:22" x14ac:dyDescent="0.35">
      <c r="A20" t="s">
        <v>3</v>
      </c>
      <c r="B20" t="s">
        <v>37</v>
      </c>
      <c r="C20" t="s">
        <v>44</v>
      </c>
      <c r="O20" t="s">
        <v>176</v>
      </c>
      <c r="P20">
        <v>1</v>
      </c>
    </row>
    <row r="21" spans="1:22" x14ac:dyDescent="0.35">
      <c r="A21" t="s">
        <v>4</v>
      </c>
      <c r="B21" t="s">
        <v>38</v>
      </c>
      <c r="C21" t="s">
        <v>45</v>
      </c>
      <c r="F21" t="s">
        <v>21</v>
      </c>
      <c r="G21" t="s">
        <v>2</v>
      </c>
      <c r="J21" t="s">
        <v>24</v>
      </c>
      <c r="K21" t="s">
        <v>5</v>
      </c>
      <c r="O21" t="s">
        <v>175</v>
      </c>
      <c r="P21">
        <v>2</v>
      </c>
    </row>
    <row r="22" spans="1:22" x14ac:dyDescent="0.35">
      <c r="A22" t="s">
        <v>5</v>
      </c>
      <c r="B22" t="s">
        <v>37</v>
      </c>
      <c r="C22" t="s">
        <v>44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</row>
    <row r="23" spans="1:22" x14ac:dyDescent="0.35">
      <c r="A23" t="s">
        <v>6</v>
      </c>
      <c r="B23" t="s">
        <v>38</v>
      </c>
      <c r="C23" t="s">
        <v>45</v>
      </c>
      <c r="G23" t="s">
        <v>50</v>
      </c>
      <c r="H23">
        <v>1</v>
      </c>
      <c r="K23" t="s">
        <v>59</v>
      </c>
      <c r="L23">
        <v>1</v>
      </c>
    </row>
    <row r="24" spans="1:22" x14ac:dyDescent="0.35">
      <c r="A24" t="s">
        <v>7</v>
      </c>
      <c r="B24" t="s">
        <v>38</v>
      </c>
      <c r="C24" t="s">
        <v>45</v>
      </c>
      <c r="G24" t="s">
        <v>46</v>
      </c>
      <c r="H24">
        <v>2</v>
      </c>
      <c r="K24" t="s">
        <v>60</v>
      </c>
      <c r="L24">
        <v>2</v>
      </c>
    </row>
    <row r="25" spans="1:22" x14ac:dyDescent="0.35">
      <c r="A25" t="s">
        <v>8</v>
      </c>
      <c r="B25" t="s">
        <v>38</v>
      </c>
      <c r="C25" t="s">
        <v>45</v>
      </c>
      <c r="G25" t="s">
        <v>47</v>
      </c>
      <c r="H25">
        <v>3</v>
      </c>
      <c r="K25" t="s">
        <v>61</v>
      </c>
      <c r="L25">
        <v>3</v>
      </c>
    </row>
    <row r="26" spans="1:22" x14ac:dyDescent="0.35">
      <c r="A26" t="s">
        <v>9</v>
      </c>
      <c r="B26" t="s">
        <v>38</v>
      </c>
      <c r="C26" t="s">
        <v>45</v>
      </c>
      <c r="G26" t="s">
        <v>48</v>
      </c>
      <c r="H26">
        <v>4</v>
      </c>
      <c r="K26" t="s">
        <v>62</v>
      </c>
      <c r="L26">
        <v>4</v>
      </c>
    </row>
    <row r="27" spans="1:22" x14ac:dyDescent="0.35">
      <c r="A27" t="s">
        <v>324</v>
      </c>
      <c r="B27" t="s">
        <v>38</v>
      </c>
      <c r="C27" t="s">
        <v>45</v>
      </c>
      <c r="G27" t="s">
        <v>49</v>
      </c>
      <c r="H27">
        <v>5</v>
      </c>
      <c r="K27" t="s">
        <v>63</v>
      </c>
      <c r="L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P142"/>
  <sheetViews>
    <sheetView topLeftCell="A67" zoomScale="79" zoomScaleNormal="121" workbookViewId="0">
      <selection activeCell="F133" sqref="F133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16" x14ac:dyDescent="0.35">
      <c r="A1" t="s">
        <v>151</v>
      </c>
      <c r="F1" t="s">
        <v>165</v>
      </c>
    </row>
    <row r="2" spans="1:16" ht="15" thickBot="1" x14ac:dyDescent="0.4">
      <c r="A2" s="9" t="s">
        <v>152</v>
      </c>
      <c r="B2" s="9" t="s">
        <v>171</v>
      </c>
    </row>
    <row r="3" spans="1:16" ht="16" thickBot="1" x14ac:dyDescent="0.4">
      <c r="A3" s="9" t="s">
        <v>19</v>
      </c>
      <c r="B3" s="32" t="s">
        <v>30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82</v>
      </c>
    </row>
    <row r="4" spans="1:16" ht="16" thickBot="1" x14ac:dyDescent="0.4">
      <c r="A4" s="9" t="s">
        <v>20</v>
      </c>
      <c r="B4" s="33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</row>
    <row r="5" spans="1:16" ht="16" thickBot="1" x14ac:dyDescent="0.4">
      <c r="A5" s="9" t="s">
        <v>21</v>
      </c>
      <c r="B5" s="33" t="s">
        <v>2</v>
      </c>
      <c r="G5" s="49" t="s">
        <v>31</v>
      </c>
      <c r="H5">
        <v>1</v>
      </c>
      <c r="K5" t="s">
        <v>398</v>
      </c>
      <c r="L5">
        <v>1</v>
      </c>
      <c r="O5" t="s">
        <v>328</v>
      </c>
      <c r="P5">
        <v>1</v>
      </c>
    </row>
    <row r="6" spans="1:16" ht="31.5" thickBot="1" x14ac:dyDescent="0.4">
      <c r="A6" s="9" t="s">
        <v>22</v>
      </c>
      <c r="B6" s="33" t="s">
        <v>3</v>
      </c>
      <c r="G6" s="60" t="s">
        <v>172</v>
      </c>
      <c r="H6">
        <v>2</v>
      </c>
      <c r="K6" t="s">
        <v>397</v>
      </c>
      <c r="L6">
        <v>2</v>
      </c>
      <c r="O6" t="s">
        <v>329</v>
      </c>
      <c r="P6">
        <v>2</v>
      </c>
    </row>
    <row r="7" spans="1:16" ht="31.5" thickBot="1" x14ac:dyDescent="0.4">
      <c r="A7" s="9" t="s">
        <v>23</v>
      </c>
      <c r="B7" s="33" t="s">
        <v>4</v>
      </c>
      <c r="G7" s="60" t="s">
        <v>173</v>
      </c>
      <c r="H7">
        <v>3</v>
      </c>
      <c r="K7" t="s">
        <v>399</v>
      </c>
      <c r="L7">
        <v>3</v>
      </c>
    </row>
    <row r="8" spans="1:16" ht="31.5" thickBot="1" x14ac:dyDescent="0.4">
      <c r="A8" s="9" t="s">
        <v>24</v>
      </c>
      <c r="B8" s="33" t="s">
        <v>361</v>
      </c>
      <c r="G8" s="60" t="s">
        <v>174</v>
      </c>
      <c r="H8">
        <v>4</v>
      </c>
      <c r="K8" t="s">
        <v>52</v>
      </c>
      <c r="L8">
        <v>4</v>
      </c>
    </row>
    <row r="9" spans="1:16" ht="16" thickBot="1" x14ac:dyDescent="0.4">
      <c r="A9" s="9" t="s">
        <v>25</v>
      </c>
      <c r="B9" s="33" t="s">
        <v>362</v>
      </c>
      <c r="G9" s="60" t="s">
        <v>452</v>
      </c>
      <c r="H9">
        <v>5</v>
      </c>
      <c r="K9" t="s">
        <v>51</v>
      </c>
      <c r="L9">
        <v>5</v>
      </c>
    </row>
    <row r="10" spans="1:16" ht="16" thickBot="1" x14ac:dyDescent="0.4">
      <c r="A10" s="9" t="s">
        <v>26</v>
      </c>
      <c r="B10" s="33" t="s">
        <v>42</v>
      </c>
    </row>
    <row r="11" spans="1:16" ht="31.5" thickBot="1" x14ac:dyDescent="0.4">
      <c r="A11" s="9" t="s">
        <v>27</v>
      </c>
      <c r="B11" s="33" t="s">
        <v>363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200</v>
      </c>
    </row>
    <row r="12" spans="1:16" ht="15" thickBot="1" x14ac:dyDescent="0.4">
      <c r="A12" s="9"/>
      <c r="B12" s="17"/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</row>
    <row r="13" spans="1:16" ht="15" thickBot="1" x14ac:dyDescent="0.4">
      <c r="B13" s="15"/>
      <c r="G13" t="s">
        <v>140</v>
      </c>
      <c r="H13">
        <v>1</v>
      </c>
      <c r="K13" t="s">
        <v>400</v>
      </c>
      <c r="L13">
        <v>1</v>
      </c>
      <c r="O13" s="50" t="s">
        <v>453</v>
      </c>
      <c r="P13">
        <v>1</v>
      </c>
    </row>
    <row r="14" spans="1:16" ht="29.5" thickBot="1" x14ac:dyDescent="0.4">
      <c r="B14" s="15"/>
      <c r="G14" t="s">
        <v>448</v>
      </c>
      <c r="H14">
        <v>2</v>
      </c>
      <c r="K14" s="3" t="s">
        <v>401</v>
      </c>
      <c r="L14">
        <v>2</v>
      </c>
      <c r="O14" s="51" t="s">
        <v>176</v>
      </c>
      <c r="P14">
        <v>2</v>
      </c>
    </row>
    <row r="15" spans="1:16" x14ac:dyDescent="0.35">
      <c r="A15" s="18" t="s">
        <v>150</v>
      </c>
      <c r="B15" s="15"/>
      <c r="G15" t="s">
        <v>449</v>
      </c>
      <c r="H15">
        <v>3</v>
      </c>
    </row>
    <row r="16" spans="1:16" x14ac:dyDescent="0.35">
      <c r="A16" s="9"/>
      <c r="B16" s="15"/>
      <c r="G16" t="s">
        <v>450</v>
      </c>
      <c r="H16">
        <v>4</v>
      </c>
    </row>
    <row r="17" spans="1:16" x14ac:dyDescent="0.35">
      <c r="A17" s="15" t="s">
        <v>152</v>
      </c>
      <c r="B17" s="15" t="s">
        <v>153</v>
      </c>
      <c r="C17" s="15" t="s">
        <v>11</v>
      </c>
      <c r="D17" s="15"/>
      <c r="G17" t="s">
        <v>391</v>
      </c>
      <c r="H17">
        <v>5</v>
      </c>
      <c r="K17" s="3"/>
    </row>
    <row r="18" spans="1:16" x14ac:dyDescent="0.35">
      <c r="A18" s="9" t="s">
        <v>19</v>
      </c>
      <c r="B18" s="15" t="s">
        <v>154</v>
      </c>
      <c r="C18" s="15">
        <v>0.31</v>
      </c>
      <c r="D18" s="31">
        <v>0.314</v>
      </c>
      <c r="N18" t="s">
        <v>27</v>
      </c>
      <c r="O18" t="s">
        <v>41</v>
      </c>
    </row>
    <row r="19" spans="1:16" x14ac:dyDescent="0.35">
      <c r="A19" s="9" t="s">
        <v>20</v>
      </c>
      <c r="B19" s="15" t="s">
        <v>155</v>
      </c>
      <c r="C19" s="15">
        <v>0.2</v>
      </c>
      <c r="D19" s="31">
        <v>0.20300000000000001</v>
      </c>
      <c r="O19" t="s">
        <v>29</v>
      </c>
      <c r="P19" t="s">
        <v>11</v>
      </c>
    </row>
    <row r="20" spans="1:16" x14ac:dyDescent="0.35">
      <c r="A20" s="9" t="s">
        <v>21</v>
      </c>
      <c r="B20" s="15" t="s">
        <v>156</v>
      </c>
      <c r="C20" s="15">
        <v>0.15</v>
      </c>
      <c r="D20" s="31">
        <v>0.14799999999999999</v>
      </c>
      <c r="O20" t="s">
        <v>330</v>
      </c>
      <c r="P20">
        <v>1</v>
      </c>
    </row>
    <row r="21" spans="1:16" x14ac:dyDescent="0.35">
      <c r="A21" s="9" t="s">
        <v>22</v>
      </c>
      <c r="B21" s="15" t="s">
        <v>157</v>
      </c>
      <c r="C21" s="15">
        <v>0.11</v>
      </c>
      <c r="D21" s="31">
        <v>0.111</v>
      </c>
      <c r="F21" t="s">
        <v>21</v>
      </c>
      <c r="G21" t="s">
        <v>2</v>
      </c>
      <c r="J21" t="s">
        <v>24</v>
      </c>
      <c r="K21" t="s">
        <v>5</v>
      </c>
      <c r="O21" t="s">
        <v>331</v>
      </c>
      <c r="P21">
        <v>2</v>
      </c>
    </row>
    <row r="22" spans="1:16" x14ac:dyDescent="0.35">
      <c r="A22" s="9" t="s">
        <v>23</v>
      </c>
      <c r="B22" s="15" t="s">
        <v>158</v>
      </c>
      <c r="C22" s="15">
        <v>0.08</v>
      </c>
      <c r="D22" s="31">
        <v>8.3000000000000004E-2</v>
      </c>
      <c r="G22" t="s">
        <v>39</v>
      </c>
      <c r="H22" t="s">
        <v>11</v>
      </c>
      <c r="K22" t="s">
        <v>29</v>
      </c>
      <c r="L22" t="s">
        <v>11</v>
      </c>
    </row>
    <row r="23" spans="1:16" x14ac:dyDescent="0.35">
      <c r="A23" s="9" t="s">
        <v>24</v>
      </c>
      <c r="B23" s="15" t="s">
        <v>159</v>
      </c>
      <c r="C23" s="15">
        <v>0.06</v>
      </c>
      <c r="D23" s="31">
        <v>6.0999999999999999E-2</v>
      </c>
      <c r="G23" t="s">
        <v>392</v>
      </c>
      <c r="H23">
        <v>1</v>
      </c>
      <c r="K23" s="61">
        <v>0.875</v>
      </c>
      <c r="L23">
        <v>1</v>
      </c>
    </row>
    <row r="24" spans="1:16" x14ac:dyDescent="0.35">
      <c r="A24" s="9" t="s">
        <v>25</v>
      </c>
      <c r="B24" s="15" t="s">
        <v>160</v>
      </c>
      <c r="C24" s="15">
        <v>0.04</v>
      </c>
      <c r="D24" s="31">
        <v>4.2000000000000003E-2</v>
      </c>
      <c r="G24" t="s">
        <v>393</v>
      </c>
      <c r="H24">
        <v>2</v>
      </c>
      <c r="K24" s="61">
        <v>0.91666666666666663</v>
      </c>
      <c r="L24">
        <v>2</v>
      </c>
    </row>
    <row r="25" spans="1:16" x14ac:dyDescent="0.35">
      <c r="A25" s="9" t="s">
        <v>26</v>
      </c>
      <c r="B25" s="15" t="s">
        <v>161</v>
      </c>
      <c r="C25" s="15">
        <v>0.03</v>
      </c>
      <c r="D25" s="31">
        <v>2.5999999999999999E-2</v>
      </c>
      <c r="G25" t="s">
        <v>394</v>
      </c>
      <c r="H25">
        <v>3</v>
      </c>
      <c r="K25" t="s">
        <v>263</v>
      </c>
      <c r="L25">
        <v>3</v>
      </c>
    </row>
    <row r="26" spans="1:16" x14ac:dyDescent="0.35">
      <c r="A26" s="9" t="s">
        <v>27</v>
      </c>
      <c r="B26" s="15" t="s">
        <v>162</v>
      </c>
      <c r="C26" s="15">
        <v>0.01</v>
      </c>
      <c r="D26" s="31">
        <v>1.2E-2</v>
      </c>
      <c r="G26" t="s">
        <v>395</v>
      </c>
      <c r="H26">
        <v>4</v>
      </c>
      <c r="K26" t="s">
        <v>62</v>
      </c>
      <c r="L26">
        <v>4</v>
      </c>
    </row>
    <row r="27" spans="1:16" x14ac:dyDescent="0.35">
      <c r="A27" s="9"/>
      <c r="B27" s="15"/>
      <c r="C27" s="15">
        <f>SUM(C18:C26)</f>
        <v>0.99</v>
      </c>
      <c r="D27" s="31">
        <f>SUM(D18:D26)</f>
        <v>1</v>
      </c>
      <c r="G27" t="s">
        <v>396</v>
      </c>
      <c r="H27">
        <v>5</v>
      </c>
    </row>
    <row r="28" spans="1:16" ht="29" x14ac:dyDescent="0.35">
      <c r="A28" s="4"/>
      <c r="B28" s="4"/>
      <c r="C28" s="46" t="s">
        <v>378</v>
      </c>
      <c r="D28" s="47" t="s">
        <v>379</v>
      </c>
    </row>
    <row r="30" spans="1:16" x14ac:dyDescent="0.35">
      <c r="A30" s="18" t="s">
        <v>163</v>
      </c>
    </row>
    <row r="32" spans="1:16" ht="15" thickBot="1" x14ac:dyDescent="0.4">
      <c r="A32" s="15" t="s">
        <v>152</v>
      </c>
      <c r="B32" s="9" t="s">
        <v>164</v>
      </c>
    </row>
    <row r="33" spans="1:13" ht="16" thickBot="1" x14ac:dyDescent="0.4">
      <c r="A33" s="9" t="s">
        <v>19</v>
      </c>
      <c r="B33" s="34" t="s">
        <v>37</v>
      </c>
    </row>
    <row r="34" spans="1:13" ht="16" thickBot="1" x14ac:dyDescent="0.4">
      <c r="A34" s="9" t="s">
        <v>20</v>
      </c>
      <c r="B34" s="35" t="s">
        <v>38</v>
      </c>
      <c r="E34" t="s">
        <v>1</v>
      </c>
    </row>
    <row r="35" spans="1:13" ht="16" thickBot="1" x14ac:dyDescent="0.4">
      <c r="A35" s="9" t="s">
        <v>21</v>
      </c>
      <c r="B35" s="35" t="s">
        <v>38</v>
      </c>
      <c r="E35" t="s">
        <v>134</v>
      </c>
    </row>
    <row r="36" spans="1:13" ht="16" thickBot="1" x14ac:dyDescent="0.4">
      <c r="A36" s="9" t="s">
        <v>22</v>
      </c>
      <c r="B36" s="35" t="s">
        <v>38</v>
      </c>
      <c r="E36" t="s">
        <v>72</v>
      </c>
    </row>
    <row r="37" spans="1:13" ht="16" thickBot="1" x14ac:dyDescent="0.4">
      <c r="A37" s="9" t="s">
        <v>23</v>
      </c>
      <c r="B37" s="35" t="s">
        <v>38</v>
      </c>
      <c r="E37" t="s">
        <v>73</v>
      </c>
    </row>
    <row r="38" spans="1:13" ht="16" thickBot="1" x14ac:dyDescent="0.4">
      <c r="A38" s="9" t="s">
        <v>24</v>
      </c>
      <c r="B38" s="35" t="s">
        <v>37</v>
      </c>
      <c r="E38" t="s">
        <v>74</v>
      </c>
    </row>
    <row r="39" spans="1:13" ht="16" thickBot="1" x14ac:dyDescent="0.4">
      <c r="A39" s="9" t="s">
        <v>25</v>
      </c>
      <c r="B39" s="35" t="s">
        <v>38</v>
      </c>
      <c r="E39" t="s">
        <v>75</v>
      </c>
    </row>
    <row r="40" spans="1:13" ht="16" thickBot="1" x14ac:dyDescent="0.4">
      <c r="A40" s="9" t="s">
        <v>26</v>
      </c>
      <c r="B40" s="35" t="s">
        <v>38</v>
      </c>
      <c r="E40" t="s">
        <v>76</v>
      </c>
    </row>
    <row r="41" spans="1:13" ht="16" thickBot="1" x14ac:dyDescent="0.4">
      <c r="A41" s="9" t="s">
        <v>27</v>
      </c>
      <c r="B41" s="36" t="s">
        <v>38</v>
      </c>
      <c r="E41" t="s">
        <v>198</v>
      </c>
    </row>
    <row r="42" spans="1:13" x14ac:dyDescent="0.35">
      <c r="A42" s="9"/>
      <c r="B42" s="9"/>
      <c r="E42" t="s">
        <v>135</v>
      </c>
    </row>
    <row r="43" spans="1:13" x14ac:dyDescent="0.35">
      <c r="E43" t="s">
        <v>138</v>
      </c>
    </row>
    <row r="44" spans="1:13" x14ac:dyDescent="0.35">
      <c r="E44" t="s">
        <v>139</v>
      </c>
    </row>
    <row r="46" spans="1:13" x14ac:dyDescent="0.35">
      <c r="A46" s="9" t="s">
        <v>166</v>
      </c>
    </row>
    <row r="47" spans="1:13" ht="15" thickBot="1" x14ac:dyDescent="0.4">
      <c r="A47" s="18"/>
    </row>
    <row r="48" spans="1:13" ht="15" thickBot="1" x14ac:dyDescent="0.4">
      <c r="A48" s="37" t="s">
        <v>149</v>
      </c>
      <c r="B48" s="38" t="s">
        <v>171</v>
      </c>
      <c r="C48" s="38" t="s">
        <v>19</v>
      </c>
      <c r="D48" s="38" t="s">
        <v>20</v>
      </c>
      <c r="E48" s="38" t="s">
        <v>21</v>
      </c>
      <c r="F48" s="38" t="s">
        <v>22</v>
      </c>
      <c r="G48" s="38" t="s">
        <v>23</v>
      </c>
      <c r="H48" s="38" t="s">
        <v>24</v>
      </c>
      <c r="I48" s="38" t="s">
        <v>25</v>
      </c>
      <c r="J48" s="38" t="s">
        <v>26</v>
      </c>
      <c r="K48" s="38" t="s">
        <v>27</v>
      </c>
      <c r="L48" s="16"/>
      <c r="M48" s="16"/>
    </row>
    <row r="49" spans="1:13" ht="15" thickBot="1" x14ac:dyDescent="0.4">
      <c r="A49" s="39" t="s">
        <v>168</v>
      </c>
      <c r="B49" s="40" t="s">
        <v>88</v>
      </c>
      <c r="C49" s="40">
        <v>800</v>
      </c>
      <c r="D49" s="40">
        <v>8</v>
      </c>
      <c r="E49" s="40" t="s">
        <v>364</v>
      </c>
      <c r="F49" s="40" t="s">
        <v>443</v>
      </c>
      <c r="G49" s="40" t="s">
        <v>365</v>
      </c>
      <c r="H49" s="40" t="s">
        <v>390</v>
      </c>
      <c r="I49" s="40" t="s">
        <v>328</v>
      </c>
      <c r="J49" s="40" t="s">
        <v>176</v>
      </c>
      <c r="K49" s="40" t="s">
        <v>366</v>
      </c>
      <c r="L49" s="12"/>
      <c r="M49" s="12"/>
    </row>
    <row r="50" spans="1:13" ht="15" thickBot="1" x14ac:dyDescent="0.4">
      <c r="A50" s="39" t="s">
        <v>169</v>
      </c>
      <c r="B50" s="40" t="s">
        <v>89</v>
      </c>
      <c r="C50" s="40" t="s">
        <v>148</v>
      </c>
      <c r="D50" s="40">
        <v>8</v>
      </c>
      <c r="E50" s="40" t="s">
        <v>364</v>
      </c>
      <c r="F50" s="40" t="s">
        <v>444</v>
      </c>
      <c r="G50" s="40" t="s">
        <v>365</v>
      </c>
      <c r="H50" s="40" t="s">
        <v>367</v>
      </c>
      <c r="I50" s="40" t="s">
        <v>328</v>
      </c>
      <c r="J50" s="40" t="s">
        <v>176</v>
      </c>
      <c r="K50" s="40" t="s">
        <v>366</v>
      </c>
      <c r="L50" s="12"/>
      <c r="M50" s="12"/>
    </row>
    <row r="51" spans="1:13" ht="15" thickBot="1" x14ac:dyDescent="0.4">
      <c r="A51" s="39" t="s">
        <v>170</v>
      </c>
      <c r="B51" s="40" t="s">
        <v>90</v>
      </c>
      <c r="C51" s="40" t="s">
        <v>368</v>
      </c>
      <c r="D51" s="40">
        <v>9</v>
      </c>
      <c r="E51" s="40" t="s">
        <v>369</v>
      </c>
      <c r="F51" s="40" t="s">
        <v>441</v>
      </c>
      <c r="G51" s="40" t="s">
        <v>365</v>
      </c>
      <c r="H51" s="48">
        <v>0.91666666666666663</v>
      </c>
      <c r="I51" s="40" t="s">
        <v>447</v>
      </c>
      <c r="J51" s="40" t="s">
        <v>176</v>
      </c>
      <c r="K51" s="40" t="s">
        <v>366</v>
      </c>
      <c r="L51" s="12"/>
      <c r="M51" s="12"/>
    </row>
    <row r="52" spans="1:13" ht="15" thickBot="1" x14ac:dyDescent="0.4">
      <c r="A52" s="39" t="s">
        <v>223</v>
      </c>
      <c r="B52" s="40" t="s">
        <v>348</v>
      </c>
      <c r="C52" s="40">
        <v>670</v>
      </c>
      <c r="D52" s="40">
        <v>3</v>
      </c>
      <c r="E52" s="40" t="s">
        <v>369</v>
      </c>
      <c r="F52" s="40" t="s">
        <v>445</v>
      </c>
      <c r="G52" s="40" t="s">
        <v>365</v>
      </c>
      <c r="H52" s="40" t="s">
        <v>367</v>
      </c>
      <c r="I52" s="40" t="s">
        <v>126</v>
      </c>
      <c r="J52" s="40" t="s">
        <v>370</v>
      </c>
      <c r="K52" s="40" t="s">
        <v>366</v>
      </c>
    </row>
    <row r="53" spans="1:13" ht="15" thickBot="1" x14ac:dyDescent="0.4">
      <c r="A53" s="39" t="s">
        <v>229</v>
      </c>
      <c r="B53" s="40" t="s">
        <v>91</v>
      </c>
      <c r="C53" s="40" t="s">
        <v>368</v>
      </c>
      <c r="D53" s="40">
        <v>5</v>
      </c>
      <c r="E53" s="40" t="s">
        <v>364</v>
      </c>
      <c r="F53" s="40" t="s">
        <v>446</v>
      </c>
      <c r="G53" s="40" t="s">
        <v>371</v>
      </c>
      <c r="H53" s="40" t="s">
        <v>367</v>
      </c>
      <c r="I53" s="40" t="s">
        <v>114</v>
      </c>
      <c r="J53" s="40" t="s">
        <v>176</v>
      </c>
      <c r="K53" s="40" t="s">
        <v>366</v>
      </c>
    </row>
    <row r="54" spans="1:13" ht="15" thickBot="1" x14ac:dyDescent="0.4">
      <c r="A54" s="39" t="s">
        <v>234</v>
      </c>
      <c r="B54" s="40" t="s">
        <v>372</v>
      </c>
      <c r="C54" s="40" t="s">
        <v>368</v>
      </c>
      <c r="D54" s="40">
        <v>6</v>
      </c>
      <c r="E54" s="40" t="s">
        <v>364</v>
      </c>
      <c r="F54" s="40" t="s">
        <v>442</v>
      </c>
      <c r="G54" s="40" t="s">
        <v>365</v>
      </c>
      <c r="H54" s="40" t="s">
        <v>367</v>
      </c>
      <c r="I54" s="40" t="s">
        <v>126</v>
      </c>
      <c r="J54" s="40" t="s">
        <v>176</v>
      </c>
      <c r="K54" s="40" t="s">
        <v>366</v>
      </c>
    </row>
    <row r="55" spans="1:13" ht="15" thickBot="1" x14ac:dyDescent="0.4">
      <c r="A55" s="39" t="s">
        <v>353</v>
      </c>
      <c r="B55" s="40" t="s">
        <v>303</v>
      </c>
      <c r="C55" s="40" t="s">
        <v>373</v>
      </c>
      <c r="D55" s="40">
        <v>5</v>
      </c>
      <c r="E55" s="40" t="s">
        <v>364</v>
      </c>
      <c r="F55" s="40" t="s">
        <v>439</v>
      </c>
      <c r="G55" s="40" t="s">
        <v>365</v>
      </c>
      <c r="H55" s="40" t="s">
        <v>374</v>
      </c>
      <c r="I55" s="40" t="s">
        <v>126</v>
      </c>
      <c r="J55" s="40" t="s">
        <v>176</v>
      </c>
      <c r="K55" s="40" t="s">
        <v>355</v>
      </c>
    </row>
    <row r="56" spans="1:13" ht="15" thickBot="1" x14ac:dyDescent="0.4">
      <c r="A56" s="39" t="s">
        <v>356</v>
      </c>
      <c r="B56" s="40" t="s">
        <v>305</v>
      </c>
      <c r="C56" s="40">
        <v>542</v>
      </c>
      <c r="D56" s="40">
        <v>2</v>
      </c>
      <c r="E56" s="40" t="s">
        <v>369</v>
      </c>
      <c r="F56" s="40" t="s">
        <v>438</v>
      </c>
      <c r="G56" s="40" t="s">
        <v>365</v>
      </c>
      <c r="H56" s="40" t="s">
        <v>367</v>
      </c>
      <c r="I56" s="40" t="s">
        <v>114</v>
      </c>
      <c r="J56" s="40" t="s">
        <v>176</v>
      </c>
      <c r="K56" s="40" t="s">
        <v>355</v>
      </c>
      <c r="L56" s="9"/>
      <c r="M56" s="9"/>
    </row>
    <row r="57" spans="1:13" ht="15" thickBot="1" x14ac:dyDescent="0.4">
      <c r="A57" s="39" t="s">
        <v>358</v>
      </c>
      <c r="B57" s="40" t="s">
        <v>306</v>
      </c>
      <c r="C57" s="40" t="s">
        <v>373</v>
      </c>
      <c r="D57" s="40">
        <v>6</v>
      </c>
      <c r="E57" s="40" t="s">
        <v>364</v>
      </c>
      <c r="F57" s="40" t="s">
        <v>440</v>
      </c>
      <c r="G57" s="40" t="s">
        <v>365</v>
      </c>
      <c r="H57" s="40" t="s">
        <v>375</v>
      </c>
      <c r="I57" s="40" t="s">
        <v>114</v>
      </c>
      <c r="J57" s="40" t="s">
        <v>176</v>
      </c>
      <c r="K57" s="40" t="s">
        <v>355</v>
      </c>
      <c r="L57" s="12"/>
      <c r="M57" s="12"/>
    </row>
    <row r="58" spans="1:13" ht="15" thickBot="1" x14ac:dyDescent="0.4">
      <c r="A58" s="39" t="s">
        <v>359</v>
      </c>
      <c r="B58" s="40" t="s">
        <v>317</v>
      </c>
      <c r="C58" s="40">
        <v>600</v>
      </c>
      <c r="D58" s="40">
        <v>3</v>
      </c>
      <c r="E58" s="40" t="s">
        <v>364</v>
      </c>
      <c r="F58" s="40" t="s">
        <v>441</v>
      </c>
      <c r="G58" s="40" t="s">
        <v>365</v>
      </c>
      <c r="H58" s="40" t="s">
        <v>367</v>
      </c>
      <c r="I58" s="40" t="s">
        <v>376</v>
      </c>
      <c r="J58" s="40" t="s">
        <v>176</v>
      </c>
      <c r="K58" s="40" t="s">
        <v>355</v>
      </c>
      <c r="L58" s="12"/>
      <c r="M58" s="12"/>
    </row>
    <row r="59" spans="1:13" x14ac:dyDescent="0.35">
      <c r="L59" s="12"/>
      <c r="M59" s="12"/>
    </row>
    <row r="61" spans="1:13" x14ac:dyDescent="0.35">
      <c r="A61" s="41" t="s">
        <v>377</v>
      </c>
    </row>
    <row r="62" spans="1:13" ht="15" thickBot="1" x14ac:dyDescent="0.4"/>
    <row r="63" spans="1:13" ht="15.5" thickBot="1" x14ac:dyDescent="0.4">
      <c r="A63" s="42" t="s">
        <v>179</v>
      </c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</row>
    <row r="64" spans="1:13" ht="16" thickBot="1" x14ac:dyDescent="0.4">
      <c r="A64" s="44" t="s">
        <v>168</v>
      </c>
      <c r="B64" s="45">
        <v>1</v>
      </c>
      <c r="C64" s="45">
        <v>4</v>
      </c>
      <c r="D64" s="45">
        <v>3</v>
      </c>
      <c r="E64" s="45">
        <v>1</v>
      </c>
      <c r="F64" s="45">
        <v>2</v>
      </c>
      <c r="G64" s="45">
        <v>2</v>
      </c>
      <c r="H64" s="45">
        <v>1</v>
      </c>
      <c r="I64" s="45">
        <v>2</v>
      </c>
      <c r="J64" s="45">
        <v>2</v>
      </c>
    </row>
    <row r="65" spans="1:12" ht="16" thickBot="1" x14ac:dyDescent="0.4">
      <c r="A65" s="44" t="s">
        <v>169</v>
      </c>
      <c r="B65" s="45">
        <v>2</v>
      </c>
      <c r="C65" s="45">
        <v>4</v>
      </c>
      <c r="D65" s="45">
        <v>3</v>
      </c>
      <c r="E65" s="45">
        <v>1</v>
      </c>
      <c r="F65" s="45">
        <v>2</v>
      </c>
      <c r="G65" s="45">
        <v>4</v>
      </c>
      <c r="H65" s="45">
        <v>1</v>
      </c>
      <c r="I65" s="45">
        <v>2</v>
      </c>
      <c r="J65" s="45">
        <v>2</v>
      </c>
      <c r="L65" s="9"/>
    </row>
    <row r="66" spans="1:12" ht="16" thickBot="1" x14ac:dyDescent="0.4">
      <c r="A66" s="44" t="s">
        <v>170</v>
      </c>
      <c r="B66" s="45">
        <v>3</v>
      </c>
      <c r="C66" s="45">
        <v>5</v>
      </c>
      <c r="D66" s="45">
        <v>5</v>
      </c>
      <c r="E66" s="45">
        <v>1</v>
      </c>
      <c r="F66" s="45">
        <v>2</v>
      </c>
      <c r="G66" s="45">
        <v>2</v>
      </c>
      <c r="H66" s="45">
        <v>2</v>
      </c>
      <c r="I66" s="45">
        <v>2</v>
      </c>
      <c r="J66" s="45">
        <v>2</v>
      </c>
      <c r="L66" s="9"/>
    </row>
    <row r="67" spans="1:12" ht="16" thickBot="1" x14ac:dyDescent="0.4">
      <c r="A67" s="44" t="s">
        <v>223</v>
      </c>
      <c r="B67" s="45">
        <v>1</v>
      </c>
      <c r="C67" s="45">
        <v>2</v>
      </c>
      <c r="D67" s="45">
        <v>5</v>
      </c>
      <c r="E67" s="45">
        <v>1</v>
      </c>
      <c r="F67" s="45">
        <v>2</v>
      </c>
      <c r="G67" s="45">
        <v>4</v>
      </c>
      <c r="H67" s="45">
        <v>2</v>
      </c>
      <c r="I67" s="45">
        <v>1</v>
      </c>
      <c r="J67" s="45">
        <v>2</v>
      </c>
      <c r="K67" s="9"/>
      <c r="L67" s="9"/>
    </row>
    <row r="68" spans="1:12" ht="16" thickBot="1" x14ac:dyDescent="0.4">
      <c r="A68" s="44" t="s">
        <v>229</v>
      </c>
      <c r="B68" s="45">
        <v>3</v>
      </c>
      <c r="C68" s="45">
        <v>3</v>
      </c>
      <c r="D68" s="45">
        <v>3</v>
      </c>
      <c r="E68" s="45">
        <v>1</v>
      </c>
      <c r="F68" s="45">
        <v>2</v>
      </c>
      <c r="G68" s="45">
        <v>4</v>
      </c>
      <c r="H68" s="45">
        <v>1</v>
      </c>
      <c r="I68" s="45">
        <v>2</v>
      </c>
      <c r="J68" s="45">
        <v>2</v>
      </c>
      <c r="K68" s="9"/>
      <c r="L68" s="9"/>
    </row>
    <row r="69" spans="1:12" ht="16" thickBot="1" x14ac:dyDescent="0.4">
      <c r="A69" s="44" t="s">
        <v>234</v>
      </c>
      <c r="B69" s="45">
        <v>3</v>
      </c>
      <c r="C69" s="45">
        <v>3</v>
      </c>
      <c r="D69" s="45">
        <v>3</v>
      </c>
      <c r="E69" s="45">
        <v>1</v>
      </c>
      <c r="F69" s="45">
        <v>2</v>
      </c>
      <c r="G69" s="45">
        <v>4</v>
      </c>
      <c r="H69" s="45">
        <v>2</v>
      </c>
      <c r="I69" s="45">
        <v>2</v>
      </c>
      <c r="J69" s="45">
        <v>2</v>
      </c>
      <c r="K69" s="9"/>
      <c r="L69" s="9"/>
    </row>
    <row r="70" spans="1:12" ht="16" thickBot="1" x14ac:dyDescent="0.4">
      <c r="A70" s="44" t="s">
        <v>353</v>
      </c>
      <c r="B70" s="45">
        <v>2</v>
      </c>
      <c r="C70" s="45">
        <v>3</v>
      </c>
      <c r="D70" s="45">
        <v>3</v>
      </c>
      <c r="E70" s="45">
        <v>1</v>
      </c>
      <c r="F70" s="45">
        <v>2</v>
      </c>
      <c r="G70" s="45">
        <v>4</v>
      </c>
      <c r="H70" s="45">
        <v>2</v>
      </c>
      <c r="I70" s="45">
        <v>2</v>
      </c>
      <c r="J70" s="45">
        <v>1</v>
      </c>
      <c r="K70" s="9"/>
      <c r="L70" s="9"/>
    </row>
    <row r="71" spans="1:12" ht="16" thickBot="1" x14ac:dyDescent="0.4">
      <c r="A71" s="44" t="s">
        <v>356</v>
      </c>
      <c r="B71" s="45">
        <v>1</v>
      </c>
      <c r="C71" s="45">
        <v>1</v>
      </c>
      <c r="D71" s="45">
        <v>5</v>
      </c>
      <c r="E71" s="45">
        <v>2</v>
      </c>
      <c r="F71" s="45">
        <v>2</v>
      </c>
      <c r="G71" s="45">
        <v>4</v>
      </c>
      <c r="H71" s="45">
        <v>1</v>
      </c>
      <c r="I71" s="45">
        <v>2</v>
      </c>
      <c r="J71" s="45">
        <v>1</v>
      </c>
      <c r="K71" s="9"/>
      <c r="L71" s="9"/>
    </row>
    <row r="72" spans="1:12" ht="16" thickBot="1" x14ac:dyDescent="0.4">
      <c r="A72" s="44" t="s">
        <v>358</v>
      </c>
      <c r="B72" s="45">
        <v>2</v>
      </c>
      <c r="C72" s="45">
        <v>3</v>
      </c>
      <c r="D72" s="45">
        <v>3</v>
      </c>
      <c r="E72" s="45">
        <v>1</v>
      </c>
      <c r="F72" s="45">
        <v>2</v>
      </c>
      <c r="G72" s="45">
        <v>4</v>
      </c>
      <c r="H72" s="45">
        <v>1</v>
      </c>
      <c r="I72" s="45">
        <v>2</v>
      </c>
      <c r="J72" s="45">
        <v>1</v>
      </c>
      <c r="K72" s="9"/>
      <c r="L72" s="9"/>
    </row>
    <row r="73" spans="1:12" ht="16" thickBot="1" x14ac:dyDescent="0.4">
      <c r="A73" s="44" t="s">
        <v>359</v>
      </c>
      <c r="B73" s="45">
        <v>1</v>
      </c>
      <c r="C73" s="45">
        <v>2</v>
      </c>
      <c r="D73" s="45">
        <v>3</v>
      </c>
      <c r="E73" s="45">
        <v>1</v>
      </c>
      <c r="F73" s="45">
        <v>2</v>
      </c>
      <c r="G73" s="45">
        <v>4</v>
      </c>
      <c r="H73" s="45">
        <v>1</v>
      </c>
      <c r="I73" s="45">
        <v>2</v>
      </c>
      <c r="J73" s="45">
        <v>1</v>
      </c>
      <c r="K73" s="9"/>
      <c r="L73" s="9"/>
    </row>
    <row r="75" spans="1:12" x14ac:dyDescent="0.35">
      <c r="A75" s="18" t="s">
        <v>183</v>
      </c>
    </row>
    <row r="78" spans="1:12" x14ac:dyDescent="0.35">
      <c r="A78" t="s">
        <v>184</v>
      </c>
      <c r="F78" t="s">
        <v>185</v>
      </c>
      <c r="J78" t="s">
        <v>186</v>
      </c>
    </row>
    <row r="79" spans="1:12" x14ac:dyDescent="0.35">
      <c r="A79" t="s">
        <v>168</v>
      </c>
      <c r="B79" s="52">
        <f t="shared" ref="B79:B86" si="0">1/B64</f>
        <v>1</v>
      </c>
      <c r="F79" t="s">
        <v>168</v>
      </c>
      <c r="G79">
        <f>C64/5</f>
        <v>0.8</v>
      </c>
      <c r="J79" t="s">
        <v>168</v>
      </c>
      <c r="K79">
        <f>D64/5</f>
        <v>0.6</v>
      </c>
    </row>
    <row r="80" spans="1:12" x14ac:dyDescent="0.35">
      <c r="A80" t="s">
        <v>169</v>
      </c>
      <c r="B80" s="52">
        <f t="shared" si="0"/>
        <v>0.5</v>
      </c>
      <c r="F80" t="s">
        <v>169</v>
      </c>
      <c r="G80">
        <f>C65/5</f>
        <v>0.8</v>
      </c>
      <c r="J80" t="s">
        <v>169</v>
      </c>
      <c r="K80">
        <f t="shared" ref="K80:K88" si="1">D65/5</f>
        <v>0.6</v>
      </c>
    </row>
    <row r="81" spans="1:11" x14ac:dyDescent="0.35">
      <c r="A81" t="s">
        <v>170</v>
      </c>
      <c r="B81" s="52">
        <f t="shared" si="0"/>
        <v>0.33333333333333331</v>
      </c>
      <c r="F81" t="s">
        <v>170</v>
      </c>
      <c r="G81">
        <f t="shared" ref="G81:G85" si="2">C66/5</f>
        <v>1</v>
      </c>
      <c r="J81" t="s">
        <v>170</v>
      </c>
      <c r="K81">
        <f>D66/5</f>
        <v>1</v>
      </c>
    </row>
    <row r="82" spans="1:11" x14ac:dyDescent="0.35">
      <c r="A82" t="s">
        <v>223</v>
      </c>
      <c r="B82" s="52">
        <f t="shared" si="0"/>
        <v>1</v>
      </c>
      <c r="F82" t="s">
        <v>223</v>
      </c>
      <c r="G82">
        <f>C67/5</f>
        <v>0.4</v>
      </c>
      <c r="J82" t="s">
        <v>223</v>
      </c>
      <c r="K82">
        <f>D67/5</f>
        <v>1</v>
      </c>
    </row>
    <row r="83" spans="1:11" x14ac:dyDescent="0.35">
      <c r="A83" t="s">
        <v>229</v>
      </c>
      <c r="B83" s="52">
        <f t="shared" si="0"/>
        <v>0.33333333333333331</v>
      </c>
      <c r="F83" t="s">
        <v>229</v>
      </c>
      <c r="G83">
        <f>C68/5</f>
        <v>0.6</v>
      </c>
      <c r="J83" t="s">
        <v>229</v>
      </c>
      <c r="K83">
        <f>D68/5</f>
        <v>0.6</v>
      </c>
    </row>
    <row r="84" spans="1:11" x14ac:dyDescent="0.35">
      <c r="A84" t="s">
        <v>234</v>
      </c>
      <c r="B84" s="52">
        <f t="shared" si="0"/>
        <v>0.33333333333333331</v>
      </c>
      <c r="F84" t="s">
        <v>234</v>
      </c>
      <c r="G84">
        <f>C69/5</f>
        <v>0.6</v>
      </c>
      <c r="J84" t="s">
        <v>234</v>
      </c>
      <c r="K84">
        <f t="shared" si="1"/>
        <v>0.6</v>
      </c>
    </row>
    <row r="85" spans="1:11" x14ac:dyDescent="0.35">
      <c r="A85" t="s">
        <v>353</v>
      </c>
      <c r="B85" s="52">
        <f t="shared" si="0"/>
        <v>0.5</v>
      </c>
      <c r="F85" t="s">
        <v>353</v>
      </c>
      <c r="G85">
        <f t="shared" si="2"/>
        <v>0.6</v>
      </c>
      <c r="J85" t="s">
        <v>353</v>
      </c>
      <c r="K85">
        <f t="shared" si="1"/>
        <v>0.6</v>
      </c>
    </row>
    <row r="86" spans="1:11" x14ac:dyDescent="0.35">
      <c r="A86" t="s">
        <v>356</v>
      </c>
      <c r="B86" s="52">
        <f t="shared" si="0"/>
        <v>1</v>
      </c>
      <c r="F86" t="s">
        <v>356</v>
      </c>
      <c r="G86">
        <f>C71/5</f>
        <v>0.2</v>
      </c>
      <c r="J86" t="s">
        <v>356</v>
      </c>
      <c r="K86">
        <f t="shared" si="1"/>
        <v>1</v>
      </c>
    </row>
    <row r="87" spans="1:11" x14ac:dyDescent="0.35">
      <c r="A87" t="s">
        <v>358</v>
      </c>
      <c r="B87" s="52">
        <f t="shared" ref="B87:B88" si="3">1/B72</f>
        <v>0.5</v>
      </c>
      <c r="F87" t="s">
        <v>358</v>
      </c>
      <c r="G87">
        <f>C72/5</f>
        <v>0.6</v>
      </c>
      <c r="J87" t="s">
        <v>358</v>
      </c>
      <c r="K87">
        <f>D72/5</f>
        <v>0.6</v>
      </c>
    </row>
    <row r="88" spans="1:11" x14ac:dyDescent="0.35">
      <c r="A88" t="s">
        <v>359</v>
      </c>
      <c r="B88" s="52">
        <f t="shared" si="3"/>
        <v>1</v>
      </c>
      <c r="F88" t="s">
        <v>359</v>
      </c>
      <c r="G88">
        <f>C73/5</f>
        <v>0.4</v>
      </c>
      <c r="J88" t="s">
        <v>359</v>
      </c>
      <c r="K88">
        <f t="shared" si="1"/>
        <v>0.6</v>
      </c>
    </row>
    <row r="90" spans="1:11" x14ac:dyDescent="0.35">
      <c r="A90" t="s">
        <v>270</v>
      </c>
      <c r="F90" t="s">
        <v>188</v>
      </c>
      <c r="J90" t="s">
        <v>189</v>
      </c>
    </row>
    <row r="91" spans="1:11" x14ac:dyDescent="0.35">
      <c r="A91" t="s">
        <v>168</v>
      </c>
      <c r="B91">
        <f>E64/2</f>
        <v>0.5</v>
      </c>
      <c r="F91" t="s">
        <v>168</v>
      </c>
      <c r="G91">
        <f>F64/2</f>
        <v>1</v>
      </c>
      <c r="J91" t="s">
        <v>168</v>
      </c>
      <c r="K91">
        <f>2/G64</f>
        <v>1</v>
      </c>
    </row>
    <row r="92" spans="1:11" x14ac:dyDescent="0.35">
      <c r="A92" t="s">
        <v>169</v>
      </c>
      <c r="B92">
        <f t="shared" ref="B92:B100" si="4">E65/2</f>
        <v>0.5</v>
      </c>
      <c r="F92" t="s">
        <v>169</v>
      </c>
      <c r="G92">
        <f t="shared" ref="G92:G100" si="5">F65/2</f>
        <v>1</v>
      </c>
      <c r="J92" t="s">
        <v>169</v>
      </c>
      <c r="K92">
        <f>2/G65</f>
        <v>0.5</v>
      </c>
    </row>
    <row r="93" spans="1:11" x14ac:dyDescent="0.35">
      <c r="A93" t="s">
        <v>170</v>
      </c>
      <c r="B93">
        <f t="shared" si="4"/>
        <v>0.5</v>
      </c>
      <c r="F93" t="s">
        <v>170</v>
      </c>
      <c r="G93">
        <f t="shared" si="5"/>
        <v>1</v>
      </c>
      <c r="J93" t="s">
        <v>170</v>
      </c>
      <c r="K93">
        <f>2/G66</f>
        <v>1</v>
      </c>
    </row>
    <row r="94" spans="1:11" x14ac:dyDescent="0.35">
      <c r="A94" t="s">
        <v>223</v>
      </c>
      <c r="B94">
        <f t="shared" si="4"/>
        <v>0.5</v>
      </c>
      <c r="F94" t="s">
        <v>223</v>
      </c>
      <c r="G94">
        <f>F67/2</f>
        <v>1</v>
      </c>
      <c r="J94" t="s">
        <v>223</v>
      </c>
      <c r="K94">
        <f>2/G67</f>
        <v>0.5</v>
      </c>
    </row>
    <row r="95" spans="1:11" x14ac:dyDescent="0.35">
      <c r="A95" t="s">
        <v>229</v>
      </c>
      <c r="B95">
        <f t="shared" si="4"/>
        <v>0.5</v>
      </c>
      <c r="F95" t="s">
        <v>229</v>
      </c>
      <c r="G95">
        <f t="shared" si="5"/>
        <v>1</v>
      </c>
      <c r="J95" t="s">
        <v>229</v>
      </c>
      <c r="K95">
        <f t="shared" ref="K95:K100" si="6">2/G68</f>
        <v>0.5</v>
      </c>
    </row>
    <row r="96" spans="1:11" x14ac:dyDescent="0.35">
      <c r="A96" t="s">
        <v>234</v>
      </c>
      <c r="B96">
        <f t="shared" si="4"/>
        <v>0.5</v>
      </c>
      <c r="F96" t="s">
        <v>234</v>
      </c>
      <c r="G96">
        <f t="shared" si="5"/>
        <v>1</v>
      </c>
      <c r="J96" t="s">
        <v>234</v>
      </c>
      <c r="K96">
        <f t="shared" si="6"/>
        <v>0.5</v>
      </c>
    </row>
    <row r="97" spans="1:11" x14ac:dyDescent="0.35">
      <c r="A97" t="s">
        <v>353</v>
      </c>
      <c r="B97">
        <f t="shared" si="4"/>
        <v>0.5</v>
      </c>
      <c r="F97" t="s">
        <v>353</v>
      </c>
      <c r="G97">
        <f t="shared" si="5"/>
        <v>1</v>
      </c>
      <c r="J97" t="s">
        <v>353</v>
      </c>
      <c r="K97">
        <f>2/G70</f>
        <v>0.5</v>
      </c>
    </row>
    <row r="98" spans="1:11" x14ac:dyDescent="0.35">
      <c r="A98" t="s">
        <v>356</v>
      </c>
      <c r="B98">
        <f t="shared" si="4"/>
        <v>1</v>
      </c>
      <c r="F98" t="s">
        <v>356</v>
      </c>
      <c r="G98">
        <f t="shared" si="5"/>
        <v>1</v>
      </c>
      <c r="J98" t="s">
        <v>356</v>
      </c>
      <c r="K98">
        <f t="shared" si="6"/>
        <v>0.5</v>
      </c>
    </row>
    <row r="99" spans="1:11" x14ac:dyDescent="0.35">
      <c r="A99" t="s">
        <v>358</v>
      </c>
      <c r="B99">
        <f t="shared" si="4"/>
        <v>0.5</v>
      </c>
      <c r="F99" t="s">
        <v>358</v>
      </c>
      <c r="G99">
        <f t="shared" si="5"/>
        <v>1</v>
      </c>
      <c r="J99" t="s">
        <v>358</v>
      </c>
      <c r="K99">
        <f t="shared" si="6"/>
        <v>0.5</v>
      </c>
    </row>
    <row r="100" spans="1:11" x14ac:dyDescent="0.35">
      <c r="A100" t="s">
        <v>359</v>
      </c>
      <c r="B100">
        <f t="shared" si="4"/>
        <v>0.5</v>
      </c>
      <c r="F100" t="s">
        <v>359</v>
      </c>
      <c r="G100">
        <f t="shared" si="5"/>
        <v>1</v>
      </c>
      <c r="J100" t="s">
        <v>359</v>
      </c>
      <c r="K100">
        <f t="shared" si="6"/>
        <v>0.5</v>
      </c>
    </row>
    <row r="102" spans="1:11" x14ac:dyDescent="0.35">
      <c r="A102" t="s">
        <v>190</v>
      </c>
      <c r="F102" t="s">
        <v>191</v>
      </c>
      <c r="J102" t="s">
        <v>192</v>
      </c>
    </row>
    <row r="103" spans="1:11" x14ac:dyDescent="0.35">
      <c r="A103" t="s">
        <v>168</v>
      </c>
      <c r="B103">
        <f>H64/2</f>
        <v>0.5</v>
      </c>
      <c r="F103" t="s">
        <v>168</v>
      </c>
      <c r="G103" s="19">
        <f>I64/2</f>
        <v>1</v>
      </c>
      <c r="J103" t="s">
        <v>168</v>
      </c>
      <c r="K103" s="19">
        <f>J64/2</f>
        <v>1</v>
      </c>
    </row>
    <row r="104" spans="1:11" x14ac:dyDescent="0.35">
      <c r="A104" t="s">
        <v>169</v>
      </c>
      <c r="B104">
        <f t="shared" ref="B104:B112" si="7">H65/2</f>
        <v>0.5</v>
      </c>
      <c r="F104" t="s">
        <v>169</v>
      </c>
      <c r="G104" s="19">
        <f t="shared" ref="G104:G112" si="8">I65/2</f>
        <v>1</v>
      </c>
      <c r="J104" t="s">
        <v>169</v>
      </c>
      <c r="K104" s="19">
        <f t="shared" ref="K104:K112" si="9">J65/2</f>
        <v>1</v>
      </c>
    </row>
    <row r="105" spans="1:11" x14ac:dyDescent="0.35">
      <c r="A105" t="s">
        <v>170</v>
      </c>
      <c r="B105">
        <f>H66/2</f>
        <v>1</v>
      </c>
      <c r="F105" t="s">
        <v>170</v>
      </c>
      <c r="G105" s="19">
        <f t="shared" si="8"/>
        <v>1</v>
      </c>
      <c r="J105" t="s">
        <v>170</v>
      </c>
      <c r="K105" s="19">
        <f t="shared" si="9"/>
        <v>1</v>
      </c>
    </row>
    <row r="106" spans="1:11" x14ac:dyDescent="0.35">
      <c r="A106" t="s">
        <v>223</v>
      </c>
      <c r="B106">
        <f>H67/2</f>
        <v>1</v>
      </c>
      <c r="F106" t="s">
        <v>223</v>
      </c>
      <c r="G106" s="19">
        <f>I67/2</f>
        <v>0.5</v>
      </c>
      <c r="J106" t="s">
        <v>223</v>
      </c>
      <c r="K106" s="19">
        <f t="shared" si="9"/>
        <v>1</v>
      </c>
    </row>
    <row r="107" spans="1:11" x14ac:dyDescent="0.35">
      <c r="A107" t="s">
        <v>229</v>
      </c>
      <c r="B107">
        <f>H68/2</f>
        <v>0.5</v>
      </c>
      <c r="F107" t="s">
        <v>229</v>
      </c>
      <c r="G107" s="19">
        <f>I68/2</f>
        <v>1</v>
      </c>
      <c r="J107" t="s">
        <v>229</v>
      </c>
      <c r="K107" s="19">
        <f t="shared" si="9"/>
        <v>1</v>
      </c>
    </row>
    <row r="108" spans="1:11" x14ac:dyDescent="0.35">
      <c r="A108" t="s">
        <v>234</v>
      </c>
      <c r="B108">
        <f>H69/2</f>
        <v>1</v>
      </c>
      <c r="F108" t="s">
        <v>234</v>
      </c>
      <c r="G108" s="19">
        <f t="shared" si="8"/>
        <v>1</v>
      </c>
      <c r="J108" t="s">
        <v>234</v>
      </c>
      <c r="K108" s="19">
        <f t="shared" si="9"/>
        <v>1</v>
      </c>
    </row>
    <row r="109" spans="1:11" x14ac:dyDescent="0.35">
      <c r="A109" t="s">
        <v>353</v>
      </c>
      <c r="B109">
        <f t="shared" si="7"/>
        <v>1</v>
      </c>
      <c r="F109" t="s">
        <v>353</v>
      </c>
      <c r="G109" s="19">
        <f t="shared" si="8"/>
        <v>1</v>
      </c>
      <c r="J109" t="s">
        <v>353</v>
      </c>
      <c r="K109" s="19">
        <f>J70/2</f>
        <v>0.5</v>
      </c>
    </row>
    <row r="110" spans="1:11" x14ac:dyDescent="0.35">
      <c r="A110" t="s">
        <v>356</v>
      </c>
      <c r="B110">
        <f>H71/2</f>
        <v>0.5</v>
      </c>
      <c r="F110" t="s">
        <v>356</v>
      </c>
      <c r="G110" s="19">
        <f t="shared" si="8"/>
        <v>1</v>
      </c>
      <c r="J110" t="s">
        <v>356</v>
      </c>
      <c r="K110" s="19">
        <f t="shared" si="9"/>
        <v>0.5</v>
      </c>
    </row>
    <row r="111" spans="1:11" x14ac:dyDescent="0.35">
      <c r="A111" t="s">
        <v>358</v>
      </c>
      <c r="B111">
        <f>H72/2</f>
        <v>0.5</v>
      </c>
      <c r="F111" t="s">
        <v>358</v>
      </c>
      <c r="G111" s="19">
        <f t="shared" si="8"/>
        <v>1</v>
      </c>
      <c r="J111" t="s">
        <v>358</v>
      </c>
      <c r="K111" s="19">
        <f>J72/2</f>
        <v>0.5</v>
      </c>
    </row>
    <row r="112" spans="1:11" x14ac:dyDescent="0.35">
      <c r="A112" t="s">
        <v>359</v>
      </c>
      <c r="B112">
        <f t="shared" si="7"/>
        <v>0.5</v>
      </c>
      <c r="F112" t="s">
        <v>359</v>
      </c>
      <c r="G112" s="19">
        <f t="shared" si="8"/>
        <v>1</v>
      </c>
      <c r="J112" t="s">
        <v>359</v>
      </c>
      <c r="K112" s="19">
        <f t="shared" si="9"/>
        <v>0.5</v>
      </c>
    </row>
    <row r="115" spans="1:12" x14ac:dyDescent="0.35">
      <c r="A115" t="s">
        <v>194</v>
      </c>
    </row>
    <row r="117" spans="1:12" x14ac:dyDescent="0.35">
      <c r="A117" s="9" t="s">
        <v>179</v>
      </c>
      <c r="B117" s="9" t="s">
        <v>19</v>
      </c>
      <c r="C117" s="9" t="s">
        <v>20</v>
      </c>
      <c r="D117" s="9" t="s">
        <v>21</v>
      </c>
      <c r="E117" s="9" t="s">
        <v>22</v>
      </c>
      <c r="F117" s="9" t="s">
        <v>23</v>
      </c>
      <c r="G117" s="9" t="s">
        <v>24</v>
      </c>
      <c r="H117" s="9" t="s">
        <v>25</v>
      </c>
      <c r="I117" s="9" t="s">
        <v>26</v>
      </c>
      <c r="J117" s="9" t="s">
        <v>27</v>
      </c>
      <c r="L117" s="9"/>
    </row>
    <row r="118" spans="1:12" x14ac:dyDescent="0.35">
      <c r="A118" s="9" t="s">
        <v>168</v>
      </c>
      <c r="B118" s="20">
        <f>B79</f>
        <v>1</v>
      </c>
      <c r="C118" s="20">
        <f>G79</f>
        <v>0.8</v>
      </c>
      <c r="D118" s="20">
        <f t="shared" ref="D118:D127" si="10">K79</f>
        <v>0.6</v>
      </c>
      <c r="E118" s="20">
        <f>B91</f>
        <v>0.5</v>
      </c>
      <c r="F118" s="20">
        <f>G91</f>
        <v>1</v>
      </c>
      <c r="G118" s="20">
        <f>K91</f>
        <v>1</v>
      </c>
      <c r="H118" s="20">
        <f>B103</f>
        <v>0.5</v>
      </c>
      <c r="I118" s="20">
        <f>G103</f>
        <v>1</v>
      </c>
      <c r="J118" s="20">
        <f>K103</f>
        <v>1</v>
      </c>
      <c r="L118" s="20"/>
    </row>
    <row r="119" spans="1:12" x14ac:dyDescent="0.35">
      <c r="A119" s="9" t="s">
        <v>169</v>
      </c>
      <c r="B119" s="20">
        <f>B80</f>
        <v>0.5</v>
      </c>
      <c r="C119" s="20">
        <f>G80</f>
        <v>0.8</v>
      </c>
      <c r="D119" s="20">
        <f t="shared" si="10"/>
        <v>0.6</v>
      </c>
      <c r="E119" s="20">
        <f>B92</f>
        <v>0.5</v>
      </c>
      <c r="F119" s="20">
        <f>G92</f>
        <v>1</v>
      </c>
      <c r="G119" s="20">
        <f>K92</f>
        <v>0.5</v>
      </c>
      <c r="H119" s="20">
        <f>B104</f>
        <v>0.5</v>
      </c>
      <c r="I119" s="20">
        <f>G104</f>
        <v>1</v>
      </c>
      <c r="J119" s="20">
        <f>K104</f>
        <v>1</v>
      </c>
      <c r="L119" s="20"/>
    </row>
    <row r="120" spans="1:12" x14ac:dyDescent="0.35">
      <c r="A120" s="9" t="s">
        <v>170</v>
      </c>
      <c r="B120" s="20">
        <f>B81</f>
        <v>0.33333333333333331</v>
      </c>
      <c r="C120" s="20">
        <f>G81</f>
        <v>1</v>
      </c>
      <c r="D120" s="20">
        <f t="shared" si="10"/>
        <v>1</v>
      </c>
      <c r="E120" s="20">
        <f>B93</f>
        <v>0.5</v>
      </c>
      <c r="F120" s="20">
        <f>G93</f>
        <v>1</v>
      </c>
      <c r="G120" s="20">
        <f>K93</f>
        <v>1</v>
      </c>
      <c r="H120" s="20">
        <f>B105</f>
        <v>1</v>
      </c>
      <c r="I120" s="20">
        <f>G105</f>
        <v>1</v>
      </c>
      <c r="J120" s="20">
        <f>K105</f>
        <v>1</v>
      </c>
      <c r="L120" s="9"/>
    </row>
    <row r="121" spans="1:12" x14ac:dyDescent="0.35">
      <c r="A121" s="4" t="s">
        <v>223</v>
      </c>
      <c r="B121" s="20">
        <f>B82</f>
        <v>1</v>
      </c>
      <c r="C121" s="20">
        <f t="shared" ref="C121:C127" si="11">G82</f>
        <v>0.4</v>
      </c>
      <c r="D121" s="20">
        <f t="shared" si="10"/>
        <v>1</v>
      </c>
      <c r="E121" s="20">
        <f t="shared" ref="E121:E127" si="12">B94</f>
        <v>0.5</v>
      </c>
      <c r="F121" s="20">
        <f t="shared" ref="F121:F127" si="13">G94</f>
        <v>1</v>
      </c>
      <c r="G121" s="20">
        <f t="shared" ref="G121:G127" si="14">K94</f>
        <v>0.5</v>
      </c>
      <c r="H121" s="20">
        <f>B106</f>
        <v>1</v>
      </c>
      <c r="I121" s="20">
        <f t="shared" ref="I121:I127" si="15">G106</f>
        <v>0.5</v>
      </c>
      <c r="J121" s="20">
        <f t="shared" ref="J121:J127" si="16">K106</f>
        <v>1</v>
      </c>
      <c r="L121" s="9"/>
    </row>
    <row r="122" spans="1:12" x14ac:dyDescent="0.35">
      <c r="A122" s="4" t="s">
        <v>229</v>
      </c>
      <c r="B122" s="20">
        <f t="shared" ref="B122:B127" si="17">B83</f>
        <v>0.33333333333333331</v>
      </c>
      <c r="C122" s="20">
        <f t="shared" si="11"/>
        <v>0.6</v>
      </c>
      <c r="D122" s="20">
        <f t="shared" si="10"/>
        <v>0.6</v>
      </c>
      <c r="E122" s="20">
        <f t="shared" si="12"/>
        <v>0.5</v>
      </c>
      <c r="F122" s="20">
        <f t="shared" si="13"/>
        <v>1</v>
      </c>
      <c r="G122" s="20">
        <f t="shared" si="14"/>
        <v>0.5</v>
      </c>
      <c r="H122" s="20">
        <f t="shared" ref="H122:H127" si="18">B107</f>
        <v>0.5</v>
      </c>
      <c r="I122" s="20">
        <f t="shared" si="15"/>
        <v>1</v>
      </c>
      <c r="J122" s="20">
        <f t="shared" si="16"/>
        <v>1</v>
      </c>
      <c r="L122" s="9"/>
    </row>
    <row r="123" spans="1:12" x14ac:dyDescent="0.35">
      <c r="A123" s="4" t="s">
        <v>234</v>
      </c>
      <c r="B123" s="20">
        <f t="shared" si="17"/>
        <v>0.33333333333333331</v>
      </c>
      <c r="C123" s="20">
        <f t="shared" si="11"/>
        <v>0.6</v>
      </c>
      <c r="D123" s="20">
        <f t="shared" si="10"/>
        <v>0.6</v>
      </c>
      <c r="E123" s="20">
        <f>B96</f>
        <v>0.5</v>
      </c>
      <c r="F123" s="20">
        <f t="shared" si="13"/>
        <v>1</v>
      </c>
      <c r="G123" s="20">
        <f t="shared" si="14"/>
        <v>0.5</v>
      </c>
      <c r="H123" s="20">
        <f t="shared" si="18"/>
        <v>1</v>
      </c>
      <c r="I123" s="20">
        <f t="shared" si="15"/>
        <v>1</v>
      </c>
      <c r="J123" s="20">
        <f t="shared" si="16"/>
        <v>1</v>
      </c>
      <c r="L123" s="9"/>
    </row>
    <row r="124" spans="1:12" x14ac:dyDescent="0.35">
      <c r="A124" s="4" t="s">
        <v>353</v>
      </c>
      <c r="B124" s="20">
        <f t="shared" si="17"/>
        <v>0.5</v>
      </c>
      <c r="C124" s="20">
        <f t="shared" si="11"/>
        <v>0.6</v>
      </c>
      <c r="D124" s="20">
        <f t="shared" si="10"/>
        <v>0.6</v>
      </c>
      <c r="E124" s="20">
        <f t="shared" si="12"/>
        <v>0.5</v>
      </c>
      <c r="F124" s="20">
        <f t="shared" si="13"/>
        <v>1</v>
      </c>
      <c r="G124" s="20">
        <v>0.5</v>
      </c>
      <c r="H124" s="20">
        <f t="shared" si="18"/>
        <v>1</v>
      </c>
      <c r="I124" s="20">
        <f t="shared" si="15"/>
        <v>1</v>
      </c>
      <c r="J124" s="20">
        <f t="shared" si="16"/>
        <v>0.5</v>
      </c>
      <c r="L124" s="9"/>
    </row>
    <row r="125" spans="1:12" x14ac:dyDescent="0.35">
      <c r="A125" s="4" t="s">
        <v>356</v>
      </c>
      <c r="B125" s="20">
        <f t="shared" si="17"/>
        <v>1</v>
      </c>
      <c r="C125" s="20">
        <f t="shared" si="11"/>
        <v>0.2</v>
      </c>
      <c r="D125" s="20">
        <f t="shared" si="10"/>
        <v>1</v>
      </c>
      <c r="E125" s="20">
        <f t="shared" si="12"/>
        <v>1</v>
      </c>
      <c r="F125" s="20">
        <f t="shared" si="13"/>
        <v>1</v>
      </c>
      <c r="G125" s="20">
        <f t="shared" si="14"/>
        <v>0.5</v>
      </c>
      <c r="H125" s="20">
        <f t="shared" si="18"/>
        <v>0.5</v>
      </c>
      <c r="I125" s="20">
        <f t="shared" si="15"/>
        <v>1</v>
      </c>
      <c r="J125" s="20">
        <f t="shared" si="16"/>
        <v>0.5</v>
      </c>
      <c r="L125" s="9"/>
    </row>
    <row r="126" spans="1:12" x14ac:dyDescent="0.35">
      <c r="A126" s="4" t="s">
        <v>358</v>
      </c>
      <c r="B126" s="20">
        <f t="shared" si="17"/>
        <v>0.5</v>
      </c>
      <c r="C126" s="20">
        <f t="shared" si="11"/>
        <v>0.6</v>
      </c>
      <c r="D126" s="20">
        <f t="shared" si="10"/>
        <v>0.6</v>
      </c>
      <c r="E126" s="20">
        <f t="shared" si="12"/>
        <v>0.5</v>
      </c>
      <c r="F126" s="20">
        <f t="shared" si="13"/>
        <v>1</v>
      </c>
      <c r="G126" s="20">
        <f t="shared" si="14"/>
        <v>0.5</v>
      </c>
      <c r="H126" s="20">
        <f t="shared" si="18"/>
        <v>0.5</v>
      </c>
      <c r="I126" s="20">
        <f t="shared" si="15"/>
        <v>1</v>
      </c>
      <c r="J126" s="20">
        <f t="shared" si="16"/>
        <v>0.5</v>
      </c>
      <c r="L126" s="9"/>
    </row>
    <row r="127" spans="1:12" x14ac:dyDescent="0.35">
      <c r="A127" s="4" t="s">
        <v>359</v>
      </c>
      <c r="B127" s="20">
        <f t="shared" si="17"/>
        <v>1</v>
      </c>
      <c r="C127" s="20">
        <f t="shared" si="11"/>
        <v>0.4</v>
      </c>
      <c r="D127" s="20">
        <f t="shared" si="10"/>
        <v>0.6</v>
      </c>
      <c r="E127" s="20">
        <f t="shared" si="12"/>
        <v>0.5</v>
      </c>
      <c r="F127" s="20">
        <f t="shared" si="13"/>
        <v>1</v>
      </c>
      <c r="G127" s="20">
        <f t="shared" si="14"/>
        <v>0.5</v>
      </c>
      <c r="H127" s="20">
        <f t="shared" si="18"/>
        <v>0.5</v>
      </c>
      <c r="I127" s="20">
        <f t="shared" si="15"/>
        <v>1</v>
      </c>
      <c r="J127" s="20">
        <f t="shared" si="16"/>
        <v>0.5</v>
      </c>
    </row>
    <row r="130" spans="1:13" x14ac:dyDescent="0.35">
      <c r="A130" t="s">
        <v>195</v>
      </c>
      <c r="K130" t="s">
        <v>404</v>
      </c>
    </row>
    <row r="132" spans="1:13" x14ac:dyDescent="0.35">
      <c r="A132" s="9" t="s">
        <v>179</v>
      </c>
      <c r="B132" s="9" t="s">
        <v>19</v>
      </c>
      <c r="C132" s="9" t="s">
        <v>20</v>
      </c>
      <c r="D132" s="9" t="s">
        <v>21</v>
      </c>
      <c r="E132" s="9" t="s">
        <v>22</v>
      </c>
      <c r="F132" s="9" t="s">
        <v>23</v>
      </c>
      <c r="G132" s="9" t="s">
        <v>24</v>
      </c>
      <c r="H132" s="9" t="s">
        <v>25</v>
      </c>
      <c r="I132" s="9" t="s">
        <v>26</v>
      </c>
      <c r="J132" s="9" t="s">
        <v>27</v>
      </c>
      <c r="K132" s="9" t="s">
        <v>196</v>
      </c>
      <c r="L132" s="9" t="s">
        <v>197</v>
      </c>
    </row>
    <row r="133" spans="1:13" x14ac:dyDescent="0.35">
      <c r="A133" s="9" t="s">
        <v>168</v>
      </c>
      <c r="B133" s="20">
        <f>B118*C18</f>
        <v>0.31</v>
      </c>
      <c r="C133" s="20">
        <f>C118*C19</f>
        <v>0.16000000000000003</v>
      </c>
      <c r="D133" s="20">
        <f>D118*C20</f>
        <v>0.09</v>
      </c>
      <c r="E133" s="20">
        <f>E118*C21</f>
        <v>5.5E-2</v>
      </c>
      <c r="F133" s="20">
        <f>F118*C22</f>
        <v>0.08</v>
      </c>
      <c r="G133" s="20">
        <f>G118*C23</f>
        <v>0.06</v>
      </c>
      <c r="H133" s="20">
        <f>H118*C24</f>
        <v>0.02</v>
      </c>
      <c r="I133" s="20">
        <f>I118*C25</f>
        <v>0.03</v>
      </c>
      <c r="J133" s="20">
        <f>J118*C26</f>
        <v>0.01</v>
      </c>
      <c r="K133" s="20">
        <f>SUM(B133:J133)</f>
        <v>0.81500000000000017</v>
      </c>
      <c r="L133" s="9">
        <f>RANK(K133,$K$133:$K$142,0)</f>
        <v>1</v>
      </c>
      <c r="M133" t="s">
        <v>451</v>
      </c>
    </row>
    <row r="134" spans="1:13" x14ac:dyDescent="0.35">
      <c r="A134" s="9" t="s">
        <v>169</v>
      </c>
      <c r="B134" s="20">
        <f>B119*C18</f>
        <v>0.155</v>
      </c>
      <c r="C134" s="20">
        <f>C119*C19</f>
        <v>0.16000000000000003</v>
      </c>
      <c r="D134" s="20">
        <f>D119*C20</f>
        <v>0.09</v>
      </c>
      <c r="E134" s="20">
        <f>E119*C21</f>
        <v>5.5E-2</v>
      </c>
      <c r="F134" s="20">
        <f>F119*C22</f>
        <v>0.08</v>
      </c>
      <c r="G134" s="20">
        <f>G119*C23</f>
        <v>0.03</v>
      </c>
      <c r="H134" s="20">
        <f>H119*C24</f>
        <v>0.02</v>
      </c>
      <c r="I134" s="20">
        <f>I119*C25</f>
        <v>0.03</v>
      </c>
      <c r="J134" s="20">
        <f>J119*C26</f>
        <v>0.01</v>
      </c>
      <c r="K134" s="20">
        <f t="shared" ref="K134:K142" si="19">SUM(B134:J134)</f>
        <v>0.63000000000000012</v>
      </c>
      <c r="L134" s="9">
        <f t="shared" ref="L134:L142" si="20">RANK(K134,$K$133:$K$142,0)</f>
        <v>6</v>
      </c>
      <c r="M134" t="s">
        <v>451</v>
      </c>
    </row>
    <row r="135" spans="1:13" x14ac:dyDescent="0.35">
      <c r="A135" s="9" t="s">
        <v>170</v>
      </c>
      <c r="B135" s="20">
        <f>B120*C18</f>
        <v>0.10333333333333333</v>
      </c>
      <c r="C135" s="20">
        <f>C120*C19</f>
        <v>0.2</v>
      </c>
      <c r="D135" s="20">
        <f>D120*C20</f>
        <v>0.15</v>
      </c>
      <c r="E135" s="20">
        <f>E120*C21</f>
        <v>5.5E-2</v>
      </c>
      <c r="F135" s="20">
        <f>F120*C22</f>
        <v>0.08</v>
      </c>
      <c r="G135" s="20">
        <f>G120*C23</f>
        <v>0.06</v>
      </c>
      <c r="H135" s="20">
        <f>H120*C24</f>
        <v>0.04</v>
      </c>
      <c r="I135" s="20">
        <f>I120*C25</f>
        <v>0.03</v>
      </c>
      <c r="J135" s="20">
        <f>J120*C26</f>
        <v>0.01</v>
      </c>
      <c r="K135" s="20">
        <f t="shared" si="19"/>
        <v>0.7283333333333335</v>
      </c>
      <c r="L135" s="9">
        <f t="shared" si="20"/>
        <v>4</v>
      </c>
      <c r="M135" t="s">
        <v>451</v>
      </c>
    </row>
    <row r="136" spans="1:13" x14ac:dyDescent="0.35">
      <c r="A136" s="4" t="s">
        <v>223</v>
      </c>
      <c r="B136" s="53">
        <f>B121*C18</f>
        <v>0.31</v>
      </c>
      <c r="C136" s="53">
        <f>C121*C19</f>
        <v>8.0000000000000016E-2</v>
      </c>
      <c r="D136" s="53">
        <f>D121*C20</f>
        <v>0.15</v>
      </c>
      <c r="E136" s="53">
        <f>E121*C21</f>
        <v>5.5E-2</v>
      </c>
      <c r="F136" s="53">
        <f>F121*C22</f>
        <v>0.08</v>
      </c>
      <c r="G136" s="53">
        <f>G121*C23</f>
        <v>0.03</v>
      </c>
      <c r="H136" s="53">
        <f>H121*C24</f>
        <v>0.04</v>
      </c>
      <c r="I136" s="53">
        <f>I121*C25</f>
        <v>1.4999999999999999E-2</v>
      </c>
      <c r="J136" s="53">
        <f>J121*C26</f>
        <v>0.01</v>
      </c>
      <c r="K136" s="53">
        <f t="shared" si="19"/>
        <v>0.77000000000000013</v>
      </c>
      <c r="L136" s="9">
        <f t="shared" si="20"/>
        <v>3</v>
      </c>
      <c r="M136" t="s">
        <v>451</v>
      </c>
    </row>
    <row r="137" spans="1:13" x14ac:dyDescent="0.35">
      <c r="A137" s="4" t="s">
        <v>229</v>
      </c>
      <c r="B137" s="53">
        <f>B122*C18</f>
        <v>0.10333333333333333</v>
      </c>
      <c r="C137" s="53">
        <f>C122*C19</f>
        <v>0.12</v>
      </c>
      <c r="D137" s="53">
        <f>D122*C20</f>
        <v>0.09</v>
      </c>
      <c r="E137" s="53">
        <f>E122*C21</f>
        <v>5.5E-2</v>
      </c>
      <c r="F137" s="53">
        <f>F122*C22</f>
        <v>0.08</v>
      </c>
      <c r="G137" s="53">
        <f>G122*C23</f>
        <v>0.03</v>
      </c>
      <c r="H137" s="53">
        <f>H122*C24</f>
        <v>0.02</v>
      </c>
      <c r="I137" s="53">
        <f>I122*C25</f>
        <v>0.03</v>
      </c>
      <c r="J137" s="53">
        <f>J122*C26</f>
        <v>0.01</v>
      </c>
      <c r="K137" s="53">
        <f t="shared" si="19"/>
        <v>0.53833333333333344</v>
      </c>
      <c r="L137" s="9">
        <f t="shared" si="20"/>
        <v>10</v>
      </c>
    </row>
    <row r="138" spans="1:13" x14ac:dyDescent="0.35">
      <c r="A138" s="4" t="s">
        <v>234</v>
      </c>
      <c r="B138" s="53">
        <f>B123*C18</f>
        <v>0.10333333333333333</v>
      </c>
      <c r="C138" s="53">
        <f>C123*C19</f>
        <v>0.12</v>
      </c>
      <c r="D138" s="53">
        <f>D123*C20</f>
        <v>0.09</v>
      </c>
      <c r="E138" s="53">
        <f>E123*C21</f>
        <v>5.5E-2</v>
      </c>
      <c r="F138" s="53">
        <f>F123*C22</f>
        <v>0.08</v>
      </c>
      <c r="G138" s="53">
        <f>G123*C23</f>
        <v>0.03</v>
      </c>
      <c r="H138" s="53">
        <f>H123*C24</f>
        <v>0.04</v>
      </c>
      <c r="I138" s="53">
        <f>I123*C25</f>
        <v>0.03</v>
      </c>
      <c r="J138" s="53">
        <f>J123*C26</f>
        <v>0.01</v>
      </c>
      <c r="K138" s="53">
        <f t="shared" si="19"/>
        <v>0.55833333333333346</v>
      </c>
      <c r="L138" s="9">
        <f t="shared" si="20"/>
        <v>9</v>
      </c>
    </row>
    <row r="139" spans="1:13" x14ac:dyDescent="0.35">
      <c r="A139" s="4" t="s">
        <v>353</v>
      </c>
      <c r="B139" s="53">
        <f>B124*C18</f>
        <v>0.155</v>
      </c>
      <c r="C139" s="53">
        <f>C124*C19</f>
        <v>0.12</v>
      </c>
      <c r="D139" s="53">
        <f>D124*C20</f>
        <v>0.09</v>
      </c>
      <c r="E139" s="53">
        <f>E124*C21</f>
        <v>5.5E-2</v>
      </c>
      <c r="F139" s="53">
        <f>F124*C22</f>
        <v>0.08</v>
      </c>
      <c r="G139" s="53">
        <f>G124*C23</f>
        <v>0.03</v>
      </c>
      <c r="H139" s="53">
        <f>H124*C24</f>
        <v>0.04</v>
      </c>
      <c r="I139" s="53">
        <f>I124*C25</f>
        <v>0.03</v>
      </c>
      <c r="J139" s="53">
        <f>J124*C26</f>
        <v>5.0000000000000001E-3</v>
      </c>
      <c r="K139" s="53">
        <f t="shared" si="19"/>
        <v>0.60500000000000009</v>
      </c>
      <c r="L139" s="9">
        <f t="shared" si="20"/>
        <v>7</v>
      </c>
      <c r="M139" t="s">
        <v>451</v>
      </c>
    </row>
    <row r="140" spans="1:13" x14ac:dyDescent="0.35">
      <c r="A140" s="4" t="s">
        <v>356</v>
      </c>
      <c r="B140" s="53">
        <f>B125*C18</f>
        <v>0.31</v>
      </c>
      <c r="C140" s="53">
        <f>C125*C19</f>
        <v>4.0000000000000008E-2</v>
      </c>
      <c r="D140" s="53">
        <f>D125*C20</f>
        <v>0.15</v>
      </c>
      <c r="E140" s="53">
        <f>E125*C21</f>
        <v>0.11</v>
      </c>
      <c r="F140" s="53">
        <f>F125*C22</f>
        <v>0.08</v>
      </c>
      <c r="G140" s="53">
        <f>G125*C23</f>
        <v>0.03</v>
      </c>
      <c r="H140" s="53">
        <f>H125*C24</f>
        <v>0.02</v>
      </c>
      <c r="I140" s="53">
        <f>I125*C25</f>
        <v>0.03</v>
      </c>
      <c r="J140" s="53">
        <f>J125*C26</f>
        <v>5.0000000000000001E-3</v>
      </c>
      <c r="K140" s="53">
        <f t="shared" si="19"/>
        <v>0.77500000000000002</v>
      </c>
      <c r="L140" s="9">
        <f t="shared" si="20"/>
        <v>2</v>
      </c>
      <c r="M140" t="s">
        <v>451</v>
      </c>
    </row>
    <row r="141" spans="1:13" x14ac:dyDescent="0.35">
      <c r="A141" s="4" t="s">
        <v>358</v>
      </c>
      <c r="B141" s="53">
        <f>B126*C18</f>
        <v>0.155</v>
      </c>
      <c r="C141" s="53">
        <f>C126*C19</f>
        <v>0.12</v>
      </c>
      <c r="D141" s="53">
        <f>D126*C20</f>
        <v>0.09</v>
      </c>
      <c r="E141" s="53">
        <f>E126*C21</f>
        <v>5.5E-2</v>
      </c>
      <c r="F141" s="53">
        <f>F126*C22</f>
        <v>0.08</v>
      </c>
      <c r="G141" s="53">
        <f>G126*C23</f>
        <v>0.03</v>
      </c>
      <c r="H141" s="53">
        <f>H126*C24</f>
        <v>0.02</v>
      </c>
      <c r="I141" s="53">
        <f>I126*C25</f>
        <v>0.03</v>
      </c>
      <c r="J141" s="53">
        <f>J126*C26</f>
        <v>5.0000000000000001E-3</v>
      </c>
      <c r="K141" s="53">
        <f t="shared" si="19"/>
        <v>0.58500000000000008</v>
      </c>
      <c r="L141" s="9">
        <f t="shared" si="20"/>
        <v>8</v>
      </c>
      <c r="M141" t="s">
        <v>451</v>
      </c>
    </row>
    <row r="142" spans="1:13" x14ac:dyDescent="0.35">
      <c r="A142" s="4" t="s">
        <v>359</v>
      </c>
      <c r="B142" s="53">
        <f>B127*C18</f>
        <v>0.31</v>
      </c>
      <c r="C142" s="53">
        <f>C127*C19</f>
        <v>8.0000000000000016E-2</v>
      </c>
      <c r="D142" s="53">
        <f>D127*C20</f>
        <v>0.09</v>
      </c>
      <c r="E142" s="53">
        <f>E127*C21</f>
        <v>5.5E-2</v>
      </c>
      <c r="F142" s="53">
        <f>F127*C22</f>
        <v>0.08</v>
      </c>
      <c r="G142" s="53">
        <f>G127*C23</f>
        <v>0.03</v>
      </c>
      <c r="H142" s="53">
        <f>H127*C24</f>
        <v>0.02</v>
      </c>
      <c r="I142" s="53">
        <f>I127*C25</f>
        <v>0.03</v>
      </c>
      <c r="J142" s="53">
        <f>J127*C26</f>
        <v>5.0000000000000001E-3</v>
      </c>
      <c r="K142" s="53">
        <f t="shared" si="19"/>
        <v>0.70000000000000007</v>
      </c>
      <c r="L142" s="9">
        <f t="shared" si="20"/>
        <v>5</v>
      </c>
      <c r="M142" t="s">
        <v>451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151</v>
      </c>
      <c r="I1" t="s">
        <v>165</v>
      </c>
    </row>
    <row r="2" spans="1:20" x14ac:dyDescent="0.35">
      <c r="A2" s="9" t="s">
        <v>152</v>
      </c>
      <c r="B2" s="9" t="s">
        <v>171</v>
      </c>
    </row>
    <row r="3" spans="1:20" x14ac:dyDescent="0.35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5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171</v>
      </c>
      <c r="P4" t="s">
        <v>11</v>
      </c>
      <c r="S4" t="s">
        <v>29</v>
      </c>
      <c r="T4" t="s">
        <v>11</v>
      </c>
    </row>
    <row r="5" spans="1:20" ht="29" x14ac:dyDescent="0.35">
      <c r="A5" s="9" t="s">
        <v>21</v>
      </c>
      <c r="B5" s="17" t="s">
        <v>1</v>
      </c>
      <c r="J5" t="s">
        <v>237</v>
      </c>
      <c r="K5">
        <v>1</v>
      </c>
      <c r="N5" s="3" t="s">
        <v>253</v>
      </c>
      <c r="O5" s="3" t="s">
        <v>249</v>
      </c>
      <c r="P5">
        <v>1</v>
      </c>
      <c r="S5" t="s">
        <v>262</v>
      </c>
      <c r="T5">
        <v>1</v>
      </c>
    </row>
    <row r="6" spans="1:20" ht="58" x14ac:dyDescent="0.35">
      <c r="A6" s="9" t="s">
        <v>22</v>
      </c>
      <c r="B6" s="17" t="s">
        <v>85</v>
      </c>
      <c r="J6" t="s">
        <v>238</v>
      </c>
      <c r="K6">
        <v>2</v>
      </c>
      <c r="N6" s="3" t="s">
        <v>254</v>
      </c>
      <c r="O6" s="3" t="s">
        <v>250</v>
      </c>
      <c r="P6">
        <v>2</v>
      </c>
      <c r="S6" s="3" t="s">
        <v>263</v>
      </c>
      <c r="T6" s="3">
        <v>2</v>
      </c>
    </row>
    <row r="7" spans="1:20" ht="58" x14ac:dyDescent="0.35">
      <c r="A7" s="9" t="s">
        <v>23</v>
      </c>
      <c r="B7" s="17" t="s">
        <v>4</v>
      </c>
      <c r="J7" t="s">
        <v>239</v>
      </c>
      <c r="K7">
        <v>3</v>
      </c>
      <c r="N7" s="3" t="s">
        <v>255</v>
      </c>
      <c r="O7" s="3" t="s">
        <v>251</v>
      </c>
      <c r="P7">
        <v>3</v>
      </c>
      <c r="S7" s="3" t="s">
        <v>265</v>
      </c>
      <c r="T7" s="3">
        <v>3</v>
      </c>
    </row>
    <row r="8" spans="1:20" ht="72.5" x14ac:dyDescent="0.35">
      <c r="A8" s="9" t="s">
        <v>24</v>
      </c>
      <c r="B8" s="17" t="s">
        <v>236</v>
      </c>
      <c r="J8" t="s">
        <v>240</v>
      </c>
      <c r="K8">
        <v>4</v>
      </c>
      <c r="N8" s="3" t="s">
        <v>256</v>
      </c>
      <c r="O8" s="3" t="s">
        <v>252</v>
      </c>
      <c r="P8">
        <v>4</v>
      </c>
      <c r="S8" s="3" t="s">
        <v>264</v>
      </c>
      <c r="T8" s="3">
        <v>4</v>
      </c>
    </row>
    <row r="9" spans="1:20" x14ac:dyDescent="0.35">
      <c r="A9" s="9" t="s">
        <v>25</v>
      </c>
      <c r="B9" s="17" t="s">
        <v>5</v>
      </c>
    </row>
    <row r="10" spans="1:20" x14ac:dyDescent="0.35">
      <c r="A10" s="9" t="s">
        <v>26</v>
      </c>
      <c r="B10" s="17" t="s">
        <v>200</v>
      </c>
    </row>
    <row r="11" spans="1:20" x14ac:dyDescent="0.35">
      <c r="A11" s="9" t="s">
        <v>27</v>
      </c>
      <c r="B11" s="17" t="s">
        <v>199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5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5">
      <c r="B13" s="15"/>
      <c r="J13" t="s">
        <v>241</v>
      </c>
      <c r="K13">
        <v>1</v>
      </c>
      <c r="O13" t="s">
        <v>56</v>
      </c>
      <c r="P13">
        <v>1</v>
      </c>
      <c r="S13" t="s">
        <v>175</v>
      </c>
      <c r="T13">
        <v>3</v>
      </c>
    </row>
    <row r="14" spans="1:20" x14ac:dyDescent="0.35">
      <c r="B14" s="15"/>
      <c r="J14" t="s">
        <v>242</v>
      </c>
      <c r="K14">
        <v>2</v>
      </c>
      <c r="O14" t="s">
        <v>257</v>
      </c>
      <c r="P14">
        <v>2</v>
      </c>
      <c r="S14" t="s">
        <v>176</v>
      </c>
      <c r="T14">
        <v>7</v>
      </c>
    </row>
    <row r="15" spans="1:20" x14ac:dyDescent="0.35">
      <c r="A15" s="18" t="s">
        <v>150</v>
      </c>
      <c r="B15" s="15"/>
      <c r="J15" t="s">
        <v>243</v>
      </c>
      <c r="K15">
        <v>3</v>
      </c>
      <c r="O15" t="s">
        <v>58</v>
      </c>
      <c r="P15">
        <v>3</v>
      </c>
    </row>
    <row r="16" spans="1:20" x14ac:dyDescent="0.35">
      <c r="A16" s="9"/>
      <c r="B16" s="15"/>
      <c r="J16" t="s">
        <v>244</v>
      </c>
      <c r="K16">
        <v>4</v>
      </c>
      <c r="O16" t="s">
        <v>269</v>
      </c>
      <c r="P16">
        <v>4</v>
      </c>
    </row>
    <row r="17" spans="1:20" ht="43.5" x14ac:dyDescent="0.35">
      <c r="A17" s="17" t="s">
        <v>152</v>
      </c>
      <c r="B17" s="17" t="s">
        <v>153</v>
      </c>
      <c r="C17" s="17" t="s">
        <v>11</v>
      </c>
      <c r="D17" s="17" t="s">
        <v>272</v>
      </c>
      <c r="E17" s="23" t="s">
        <v>277</v>
      </c>
      <c r="F17" s="17" t="s">
        <v>278</v>
      </c>
      <c r="G17" s="9"/>
      <c r="O17" s="3"/>
    </row>
    <row r="18" spans="1:20" x14ac:dyDescent="0.35">
      <c r="A18" s="9" t="s">
        <v>19</v>
      </c>
      <c r="B18" s="17" t="s">
        <v>154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279</v>
      </c>
      <c r="H18" s="22"/>
      <c r="R18" t="s">
        <v>27</v>
      </c>
      <c r="S18" t="s">
        <v>201</v>
      </c>
    </row>
    <row r="19" spans="1:20" x14ac:dyDescent="0.35">
      <c r="A19" s="9" t="s">
        <v>20</v>
      </c>
      <c r="B19" s="17" t="s">
        <v>155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280</v>
      </c>
      <c r="H19" s="22"/>
      <c r="S19" t="s">
        <v>29</v>
      </c>
      <c r="T19" t="s">
        <v>11</v>
      </c>
    </row>
    <row r="20" spans="1:20" x14ac:dyDescent="0.35">
      <c r="A20" s="9" t="s">
        <v>21</v>
      </c>
      <c r="B20" s="17" t="s">
        <v>156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280</v>
      </c>
      <c r="H20" s="22"/>
      <c r="S20" t="s">
        <v>202</v>
      </c>
      <c r="T20">
        <v>2</v>
      </c>
    </row>
    <row r="21" spans="1:20" x14ac:dyDescent="0.35">
      <c r="A21" s="9" t="s">
        <v>22</v>
      </c>
      <c r="B21" s="17" t="s">
        <v>157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281</v>
      </c>
      <c r="H21" s="22"/>
      <c r="I21" t="s">
        <v>21</v>
      </c>
      <c r="J21" t="s">
        <v>1</v>
      </c>
      <c r="N21" t="s">
        <v>24</v>
      </c>
      <c r="O21" t="s">
        <v>236</v>
      </c>
      <c r="S21" t="s">
        <v>203</v>
      </c>
      <c r="T21">
        <v>3</v>
      </c>
    </row>
    <row r="22" spans="1:20" x14ac:dyDescent="0.35">
      <c r="A22" s="9" t="s">
        <v>23</v>
      </c>
      <c r="B22" s="17" t="s">
        <v>158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282</v>
      </c>
      <c r="H22" s="22"/>
      <c r="J22" t="s">
        <v>39</v>
      </c>
      <c r="K22" t="s">
        <v>248</v>
      </c>
      <c r="L22" t="s">
        <v>11</v>
      </c>
      <c r="O22" t="s">
        <v>29</v>
      </c>
      <c r="P22" t="s">
        <v>11</v>
      </c>
      <c r="S22" t="s">
        <v>204</v>
      </c>
      <c r="T22">
        <v>5</v>
      </c>
    </row>
    <row r="23" spans="1:20" x14ac:dyDescent="0.35">
      <c r="A23" s="9" t="s">
        <v>24</v>
      </c>
      <c r="B23" s="17" t="s">
        <v>159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281</v>
      </c>
      <c r="H23" s="22"/>
      <c r="J23" t="s">
        <v>245</v>
      </c>
      <c r="K23" t="s">
        <v>249</v>
      </c>
      <c r="L23">
        <v>1</v>
      </c>
      <c r="O23" t="s">
        <v>258</v>
      </c>
      <c r="P23">
        <v>1</v>
      </c>
    </row>
    <row r="24" spans="1:20" ht="43.5" x14ac:dyDescent="0.35">
      <c r="A24" s="9" t="s">
        <v>25</v>
      </c>
      <c r="B24" s="17" t="s">
        <v>160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281</v>
      </c>
      <c r="H24" s="22"/>
      <c r="J24" s="3" t="s">
        <v>246</v>
      </c>
      <c r="K24" s="3" t="s">
        <v>250</v>
      </c>
      <c r="L24">
        <v>2</v>
      </c>
      <c r="O24" t="s">
        <v>259</v>
      </c>
      <c r="P24">
        <v>2</v>
      </c>
    </row>
    <row r="25" spans="1:20" ht="43.5" x14ac:dyDescent="0.35">
      <c r="A25" s="9" t="s">
        <v>26</v>
      </c>
      <c r="B25" s="17" t="s">
        <v>161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282</v>
      </c>
      <c r="H25" s="22"/>
      <c r="J25" s="3" t="s">
        <v>246</v>
      </c>
      <c r="K25" s="3" t="s">
        <v>251</v>
      </c>
      <c r="L25">
        <v>3</v>
      </c>
      <c r="O25" t="s">
        <v>260</v>
      </c>
      <c r="P25">
        <v>3</v>
      </c>
    </row>
    <row r="26" spans="1:20" ht="58" x14ac:dyDescent="0.35">
      <c r="A26" s="9" t="s">
        <v>27</v>
      </c>
      <c r="B26" s="17" t="s">
        <v>162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283</v>
      </c>
      <c r="H26" s="22"/>
      <c r="J26" s="3" t="s">
        <v>247</v>
      </c>
      <c r="K26" s="3" t="s">
        <v>252</v>
      </c>
      <c r="L26">
        <v>4</v>
      </c>
      <c r="O26" t="s">
        <v>261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163</v>
      </c>
    </row>
    <row r="32" spans="1:20" ht="29" x14ac:dyDescent="0.35">
      <c r="A32" s="17" t="s">
        <v>152</v>
      </c>
      <c r="B32" s="9" t="s">
        <v>164</v>
      </c>
      <c r="C32" s="9" t="s">
        <v>273</v>
      </c>
      <c r="D32" s="9"/>
      <c r="E32" s="9"/>
      <c r="F32" s="9" t="s">
        <v>272</v>
      </c>
      <c r="G32" s="9" t="s">
        <v>164</v>
      </c>
      <c r="H32" s="9" t="s">
        <v>274</v>
      </c>
      <c r="I32" s="9" t="s">
        <v>276</v>
      </c>
      <c r="J32" s="23" t="s">
        <v>275</v>
      </c>
    </row>
    <row r="33" spans="1:19" x14ac:dyDescent="0.35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5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5">
      <c r="A35" s="9" t="s">
        <v>21</v>
      </c>
      <c r="B35" s="9" t="s">
        <v>38</v>
      </c>
      <c r="C35" s="9">
        <v>1</v>
      </c>
      <c r="D35" s="9"/>
      <c r="E35" s="21"/>
      <c r="F35" s="9" t="s">
        <v>23</v>
      </c>
      <c r="G35" s="9" t="s">
        <v>38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5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5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5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5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5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5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5">
      <c r="A46" s="9" t="s">
        <v>166</v>
      </c>
    </row>
    <row r="47" spans="1:19" x14ac:dyDescent="0.35">
      <c r="A47" s="18"/>
    </row>
    <row r="48" spans="1:19" ht="29" x14ac:dyDescent="0.35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205</v>
      </c>
      <c r="K48" s="16" t="s">
        <v>4</v>
      </c>
      <c r="L48" s="16" t="s">
        <v>5</v>
      </c>
      <c r="M48" s="16" t="s">
        <v>42</v>
      </c>
      <c r="N48" s="16" t="s">
        <v>201</v>
      </c>
      <c r="O48" s="16" t="s">
        <v>146</v>
      </c>
      <c r="P48" s="16"/>
      <c r="Q48" s="16"/>
    </row>
    <row r="49" spans="1:18" ht="58" x14ac:dyDescent="0.35">
      <c r="A49" s="16" t="s">
        <v>168</v>
      </c>
      <c r="B49" s="12" t="s">
        <v>206</v>
      </c>
      <c r="C49" s="12" t="s">
        <v>207</v>
      </c>
      <c r="D49" s="12"/>
      <c r="E49" s="12"/>
      <c r="F49" s="12" t="s">
        <v>208</v>
      </c>
      <c r="G49" s="12"/>
      <c r="H49" s="12"/>
      <c r="I49" s="12" t="s">
        <v>209</v>
      </c>
      <c r="J49" s="12" t="s">
        <v>100</v>
      </c>
      <c r="K49" s="12" t="s">
        <v>58</v>
      </c>
      <c r="L49" s="12" t="s">
        <v>210</v>
      </c>
      <c r="M49" s="12" t="s">
        <v>177</v>
      </c>
      <c r="N49" s="12" t="s">
        <v>211</v>
      </c>
      <c r="O49" s="12" t="s">
        <v>212</v>
      </c>
      <c r="P49" s="12"/>
      <c r="Q49" s="12"/>
    </row>
    <row r="50" spans="1:18" ht="58" x14ac:dyDescent="0.35">
      <c r="A50" s="16" t="s">
        <v>169</v>
      </c>
      <c r="B50" s="12" t="s">
        <v>213</v>
      </c>
      <c r="C50" s="12" t="s">
        <v>207</v>
      </c>
      <c r="D50" s="12"/>
      <c r="E50" s="12"/>
      <c r="F50" s="12" t="s">
        <v>208</v>
      </c>
      <c r="G50" s="12"/>
      <c r="H50" s="12"/>
      <c r="I50" s="12" t="s">
        <v>214</v>
      </c>
      <c r="J50" s="12" t="s">
        <v>100</v>
      </c>
      <c r="K50" s="12" t="s">
        <v>215</v>
      </c>
      <c r="L50" s="12" t="s">
        <v>216</v>
      </c>
      <c r="M50" s="12" t="s">
        <v>217</v>
      </c>
      <c r="N50" s="12" t="s">
        <v>211</v>
      </c>
      <c r="O50" s="12" t="s">
        <v>212</v>
      </c>
      <c r="P50" s="12"/>
      <c r="Q50" s="12"/>
    </row>
    <row r="51" spans="1:18" ht="58" x14ac:dyDescent="0.35">
      <c r="A51" s="16" t="s">
        <v>170</v>
      </c>
      <c r="B51" s="12" t="s">
        <v>218</v>
      </c>
      <c r="C51" s="12" t="s">
        <v>219</v>
      </c>
      <c r="D51" s="12"/>
      <c r="E51" s="12"/>
      <c r="F51" s="12" t="s">
        <v>208</v>
      </c>
      <c r="G51" s="12"/>
      <c r="H51" s="12"/>
      <c r="I51" s="12" t="s">
        <v>220</v>
      </c>
      <c r="J51" s="12" t="s">
        <v>100</v>
      </c>
      <c r="K51" s="12" t="s">
        <v>215</v>
      </c>
      <c r="L51" s="12" t="s">
        <v>221</v>
      </c>
      <c r="M51" s="12" t="s">
        <v>217</v>
      </c>
      <c r="N51" s="12" t="s">
        <v>211</v>
      </c>
      <c r="O51" s="12" t="s">
        <v>222</v>
      </c>
      <c r="P51" s="12"/>
      <c r="Q51" s="12"/>
    </row>
    <row r="52" spans="1:18" ht="43.5" x14ac:dyDescent="0.35">
      <c r="A52" s="16" t="s">
        <v>223</v>
      </c>
      <c r="B52" s="12" t="s">
        <v>224</v>
      </c>
      <c r="C52" s="12" t="s">
        <v>219</v>
      </c>
      <c r="D52" s="12"/>
      <c r="E52" s="12"/>
      <c r="F52" s="12" t="s">
        <v>225</v>
      </c>
      <c r="G52" s="12"/>
      <c r="H52" s="12"/>
      <c r="I52" s="12" t="s">
        <v>226</v>
      </c>
      <c r="J52" s="12" t="s">
        <v>100</v>
      </c>
      <c r="K52" s="12" t="s">
        <v>227</v>
      </c>
      <c r="L52" s="12" t="s">
        <v>221</v>
      </c>
      <c r="M52" s="12" t="s">
        <v>217</v>
      </c>
      <c r="N52" s="12" t="s">
        <v>228</v>
      </c>
      <c r="O52" s="12" t="s">
        <v>212</v>
      </c>
    </row>
    <row r="53" spans="1:18" ht="43.5" x14ac:dyDescent="0.35">
      <c r="A53" s="16" t="s">
        <v>229</v>
      </c>
      <c r="B53" s="12" t="s">
        <v>230</v>
      </c>
      <c r="C53" s="12" t="s">
        <v>207</v>
      </c>
      <c r="D53" s="12"/>
      <c r="E53" s="12"/>
      <c r="F53" s="12" t="s">
        <v>231</v>
      </c>
      <c r="G53" s="12"/>
      <c r="H53" s="12"/>
      <c r="I53" s="12" t="s">
        <v>232</v>
      </c>
      <c r="J53" s="12" t="s">
        <v>100</v>
      </c>
      <c r="K53" s="12" t="s">
        <v>58</v>
      </c>
      <c r="L53" s="12" t="s">
        <v>216</v>
      </c>
      <c r="M53" s="12" t="s">
        <v>217</v>
      </c>
      <c r="N53" s="12" t="s">
        <v>211</v>
      </c>
      <c r="O53" s="12" t="s">
        <v>233</v>
      </c>
    </row>
    <row r="54" spans="1:18" ht="43.5" x14ac:dyDescent="0.35">
      <c r="A54" s="16" t="s">
        <v>234</v>
      </c>
      <c r="B54" s="12" t="s">
        <v>235</v>
      </c>
      <c r="C54" s="12" t="s">
        <v>207</v>
      </c>
      <c r="D54" s="12"/>
      <c r="E54" s="12"/>
      <c r="F54" s="12" t="s">
        <v>231</v>
      </c>
      <c r="G54" s="12"/>
      <c r="H54" s="12"/>
      <c r="I54" s="12" t="s">
        <v>226</v>
      </c>
      <c r="J54" s="12" t="s">
        <v>100</v>
      </c>
      <c r="K54" s="12" t="s">
        <v>215</v>
      </c>
      <c r="L54" s="12" t="s">
        <v>216</v>
      </c>
      <c r="M54" s="12" t="s">
        <v>217</v>
      </c>
      <c r="N54" s="12" t="s">
        <v>211</v>
      </c>
      <c r="O54" s="12" t="s">
        <v>222</v>
      </c>
    </row>
    <row r="56" spans="1:18" x14ac:dyDescent="0.35">
      <c r="A56" s="9" t="s">
        <v>149</v>
      </c>
      <c r="B56" s="9" t="s">
        <v>171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8" x14ac:dyDescent="0.35">
      <c r="A57" s="9" t="s">
        <v>168</v>
      </c>
      <c r="B57" s="7" t="s">
        <v>206</v>
      </c>
      <c r="C57" s="7" t="s">
        <v>212</v>
      </c>
      <c r="D57" s="7"/>
      <c r="E57" s="7"/>
      <c r="F57" s="7" t="s">
        <v>207</v>
      </c>
      <c r="G57" s="7"/>
      <c r="H57" s="7"/>
      <c r="I57" s="7" t="s">
        <v>208</v>
      </c>
      <c r="J57" s="7" t="s">
        <v>209</v>
      </c>
      <c r="K57" s="7" t="s">
        <v>58</v>
      </c>
      <c r="L57" s="7" t="s">
        <v>100</v>
      </c>
      <c r="M57" s="7" t="s">
        <v>210</v>
      </c>
      <c r="N57" s="7" t="s">
        <v>177</v>
      </c>
      <c r="O57" s="7" t="s">
        <v>211</v>
      </c>
      <c r="Q57" s="9"/>
      <c r="R57" s="17"/>
    </row>
    <row r="58" spans="1:18" ht="58" x14ac:dyDescent="0.35">
      <c r="A58" s="9" t="s">
        <v>169</v>
      </c>
      <c r="B58" s="7" t="s">
        <v>213</v>
      </c>
      <c r="C58" s="7" t="s">
        <v>212</v>
      </c>
      <c r="D58" s="7"/>
      <c r="E58" s="7"/>
      <c r="F58" s="7" t="s">
        <v>207</v>
      </c>
      <c r="G58" s="7"/>
      <c r="H58" s="7"/>
      <c r="I58" s="7" t="s">
        <v>208</v>
      </c>
      <c r="J58" s="7" t="s">
        <v>214</v>
      </c>
      <c r="K58" s="7" t="s">
        <v>215</v>
      </c>
      <c r="L58" s="7" t="s">
        <v>100</v>
      </c>
      <c r="M58" s="7" t="s">
        <v>216</v>
      </c>
      <c r="N58" s="7" t="s">
        <v>217</v>
      </c>
      <c r="O58" s="7" t="s">
        <v>211</v>
      </c>
      <c r="Q58" s="9"/>
      <c r="R58" s="17"/>
    </row>
    <row r="59" spans="1:18" ht="58" x14ac:dyDescent="0.35">
      <c r="A59" s="9" t="s">
        <v>170</v>
      </c>
      <c r="B59" s="7" t="s">
        <v>218</v>
      </c>
      <c r="C59" s="7" t="s">
        <v>222</v>
      </c>
      <c r="D59" s="7"/>
      <c r="E59" s="7"/>
      <c r="F59" s="7" t="s">
        <v>219</v>
      </c>
      <c r="G59" s="7"/>
      <c r="H59" s="7"/>
      <c r="I59" s="7" t="s">
        <v>208</v>
      </c>
      <c r="J59" s="7" t="s">
        <v>220</v>
      </c>
      <c r="K59" s="7" t="s">
        <v>215</v>
      </c>
      <c r="L59" s="7" t="s">
        <v>100</v>
      </c>
      <c r="M59" s="7" t="s">
        <v>221</v>
      </c>
      <c r="N59" s="7" t="s">
        <v>217</v>
      </c>
      <c r="O59" s="7" t="s">
        <v>211</v>
      </c>
      <c r="Q59" s="9"/>
      <c r="R59" s="17"/>
    </row>
    <row r="60" spans="1:18" ht="43.5" x14ac:dyDescent="0.35">
      <c r="A60" s="9" t="s">
        <v>223</v>
      </c>
      <c r="B60" s="7" t="s">
        <v>224</v>
      </c>
      <c r="C60" s="7" t="s">
        <v>212</v>
      </c>
      <c r="D60" s="7"/>
      <c r="E60" s="7"/>
      <c r="F60" s="7" t="s">
        <v>219</v>
      </c>
      <c r="G60" s="7"/>
      <c r="H60" s="7"/>
      <c r="I60" s="7" t="s">
        <v>225</v>
      </c>
      <c r="J60" s="7" t="s">
        <v>226</v>
      </c>
      <c r="K60" s="7" t="s">
        <v>227</v>
      </c>
      <c r="L60" s="7" t="s">
        <v>100</v>
      </c>
      <c r="M60" s="7" t="s">
        <v>221</v>
      </c>
      <c r="N60" s="7" t="s">
        <v>217</v>
      </c>
      <c r="O60" s="7" t="s">
        <v>228</v>
      </c>
      <c r="Q60" s="9"/>
      <c r="R60" s="17"/>
    </row>
    <row r="61" spans="1:18" ht="43.5" x14ac:dyDescent="0.35">
      <c r="A61" s="9" t="s">
        <v>229</v>
      </c>
      <c r="B61" s="7" t="s">
        <v>230</v>
      </c>
      <c r="C61" s="7" t="s">
        <v>233</v>
      </c>
      <c r="D61" s="7"/>
      <c r="E61" s="7"/>
      <c r="F61" s="7" t="s">
        <v>207</v>
      </c>
      <c r="G61" s="7"/>
      <c r="H61" s="7"/>
      <c r="I61" s="7" t="s">
        <v>231</v>
      </c>
      <c r="J61" s="7" t="s">
        <v>232</v>
      </c>
      <c r="K61" s="7" t="s">
        <v>58</v>
      </c>
      <c r="L61" s="7" t="s">
        <v>100</v>
      </c>
      <c r="M61" s="7" t="s">
        <v>216</v>
      </c>
      <c r="N61" s="7" t="s">
        <v>217</v>
      </c>
      <c r="O61" s="7" t="s">
        <v>211</v>
      </c>
      <c r="Q61" s="9"/>
      <c r="R61" s="17"/>
    </row>
    <row r="62" spans="1:18" ht="43.5" x14ac:dyDescent="0.35">
      <c r="A62" s="9" t="s">
        <v>234</v>
      </c>
      <c r="B62" s="7" t="s">
        <v>235</v>
      </c>
      <c r="C62" s="7" t="s">
        <v>222</v>
      </c>
      <c r="D62" s="7"/>
      <c r="E62" s="7"/>
      <c r="F62" s="7" t="s">
        <v>207</v>
      </c>
      <c r="G62" s="7"/>
      <c r="H62" s="7"/>
      <c r="I62" s="7" t="s">
        <v>231</v>
      </c>
      <c r="J62" s="7" t="s">
        <v>226</v>
      </c>
      <c r="K62" s="7" t="s">
        <v>215</v>
      </c>
      <c r="L62" s="7" t="s">
        <v>100</v>
      </c>
      <c r="M62" s="7" t="s">
        <v>216</v>
      </c>
      <c r="N62" s="7" t="s">
        <v>217</v>
      </c>
      <c r="O62" s="7" t="s">
        <v>211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178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179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5">
      <c r="A67" s="9" t="s">
        <v>168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169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170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223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229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234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183</v>
      </c>
    </row>
    <row r="77" spans="1:18" x14ac:dyDescent="0.35">
      <c r="A77" t="s">
        <v>184</v>
      </c>
      <c r="I77" t="s">
        <v>266</v>
      </c>
      <c r="N77" t="s">
        <v>186</v>
      </c>
    </row>
    <row r="78" spans="1:18" x14ac:dyDescent="0.35">
      <c r="A78" t="s">
        <v>168</v>
      </c>
      <c r="B78">
        <f t="shared" ref="B78:B83" si="2">1/B67</f>
        <v>1</v>
      </c>
      <c r="I78" t="s">
        <v>168</v>
      </c>
      <c r="J78">
        <f>1/C67</f>
        <v>0.5</v>
      </c>
      <c r="N78" t="s">
        <v>168</v>
      </c>
      <c r="O78">
        <f>F67/4</f>
        <v>1</v>
      </c>
    </row>
    <row r="79" spans="1:18" x14ac:dyDescent="0.35">
      <c r="A79" t="s">
        <v>169</v>
      </c>
      <c r="B79">
        <f t="shared" si="2"/>
        <v>1</v>
      </c>
      <c r="I79" t="s">
        <v>169</v>
      </c>
      <c r="J79">
        <f t="shared" ref="J79:J83" si="3">1/C68</f>
        <v>0.5</v>
      </c>
      <c r="N79" t="s">
        <v>169</v>
      </c>
      <c r="O79">
        <f t="shared" ref="O79:O83" si="4">F68/4</f>
        <v>1</v>
      </c>
    </row>
    <row r="80" spans="1:18" x14ac:dyDescent="0.35">
      <c r="A80" t="s">
        <v>170</v>
      </c>
      <c r="B80" s="19">
        <f t="shared" si="2"/>
        <v>0.33333333333333331</v>
      </c>
      <c r="I80" t="s">
        <v>170</v>
      </c>
      <c r="J80">
        <f>1/C69</f>
        <v>1</v>
      </c>
      <c r="N80" t="s">
        <v>170</v>
      </c>
      <c r="O80">
        <f>F69/4</f>
        <v>1</v>
      </c>
    </row>
    <row r="81" spans="1:15" x14ac:dyDescent="0.35">
      <c r="A81" t="s">
        <v>223</v>
      </c>
      <c r="B81">
        <f t="shared" si="2"/>
        <v>1</v>
      </c>
      <c r="I81" t="s">
        <v>223</v>
      </c>
      <c r="J81">
        <f t="shared" si="3"/>
        <v>1</v>
      </c>
      <c r="N81" t="s">
        <v>223</v>
      </c>
      <c r="O81">
        <f>F70/4</f>
        <v>0.75</v>
      </c>
    </row>
    <row r="82" spans="1:15" x14ac:dyDescent="0.35">
      <c r="A82" t="s">
        <v>229</v>
      </c>
      <c r="B82">
        <f t="shared" si="2"/>
        <v>0.5</v>
      </c>
      <c r="I82" t="s">
        <v>229</v>
      </c>
      <c r="J82">
        <f t="shared" si="3"/>
        <v>0.5</v>
      </c>
      <c r="N82" t="s">
        <v>229</v>
      </c>
      <c r="O82">
        <f t="shared" si="4"/>
        <v>0.75</v>
      </c>
    </row>
    <row r="83" spans="1:15" x14ac:dyDescent="0.35">
      <c r="A83" t="s">
        <v>234</v>
      </c>
      <c r="B83" s="19">
        <f t="shared" si="2"/>
        <v>0.33333333333333331</v>
      </c>
      <c r="I83" t="s">
        <v>234</v>
      </c>
      <c r="J83">
        <f t="shared" si="3"/>
        <v>0.5</v>
      </c>
      <c r="N83" t="s">
        <v>234</v>
      </c>
      <c r="O83">
        <f t="shared" si="4"/>
        <v>0.75</v>
      </c>
    </row>
    <row r="85" spans="1:15" x14ac:dyDescent="0.35">
      <c r="A85" t="s">
        <v>270</v>
      </c>
      <c r="I85" t="s">
        <v>188</v>
      </c>
      <c r="N85" t="s">
        <v>271</v>
      </c>
    </row>
    <row r="86" spans="1:15" x14ac:dyDescent="0.35">
      <c r="A86" t="s">
        <v>168</v>
      </c>
      <c r="B86">
        <f>I67/4</f>
        <v>1</v>
      </c>
      <c r="I86" t="s">
        <v>168</v>
      </c>
      <c r="J86">
        <f>J67/4</f>
        <v>0.75</v>
      </c>
      <c r="N86" t="s">
        <v>168</v>
      </c>
      <c r="O86">
        <f>K67/3</f>
        <v>0.66666666666666663</v>
      </c>
    </row>
    <row r="87" spans="1:15" x14ac:dyDescent="0.35">
      <c r="A87" t="s">
        <v>169</v>
      </c>
      <c r="B87">
        <f>I68/4</f>
        <v>1</v>
      </c>
      <c r="I87" t="s">
        <v>169</v>
      </c>
      <c r="J87">
        <f>J68/4</f>
        <v>1</v>
      </c>
      <c r="N87" t="s">
        <v>169</v>
      </c>
      <c r="O87">
        <f t="shared" ref="O87:O91" si="5">K68/3</f>
        <v>0.66666666666666663</v>
      </c>
    </row>
    <row r="88" spans="1:15" x14ac:dyDescent="0.35">
      <c r="A88" t="s">
        <v>170</v>
      </c>
      <c r="B88">
        <f>I69/4</f>
        <v>0.75</v>
      </c>
      <c r="I88" t="s">
        <v>170</v>
      </c>
      <c r="J88">
        <f t="shared" ref="J88:J91" si="6">J69/4</f>
        <v>1</v>
      </c>
      <c r="N88" t="s">
        <v>170</v>
      </c>
      <c r="O88">
        <f t="shared" si="5"/>
        <v>0.66666666666666663</v>
      </c>
    </row>
    <row r="89" spans="1:15" x14ac:dyDescent="0.35">
      <c r="A89" t="s">
        <v>223</v>
      </c>
      <c r="B89">
        <f>I70/4</f>
        <v>1</v>
      </c>
      <c r="I89" t="s">
        <v>223</v>
      </c>
      <c r="J89">
        <f>J70/4</f>
        <v>0.25</v>
      </c>
      <c r="N89" t="s">
        <v>223</v>
      </c>
      <c r="O89">
        <f t="shared" si="5"/>
        <v>0.66666666666666663</v>
      </c>
    </row>
    <row r="90" spans="1:15" x14ac:dyDescent="0.35">
      <c r="A90" t="s">
        <v>229</v>
      </c>
      <c r="B90">
        <f>I71/4</f>
        <v>0.75</v>
      </c>
      <c r="I90" t="s">
        <v>229</v>
      </c>
      <c r="J90">
        <f>J71/4</f>
        <v>0.75</v>
      </c>
      <c r="N90" t="s">
        <v>229</v>
      </c>
      <c r="O90">
        <f t="shared" si="5"/>
        <v>0.66666666666666663</v>
      </c>
    </row>
    <row r="91" spans="1:15" x14ac:dyDescent="0.35">
      <c r="A91" t="s">
        <v>234</v>
      </c>
      <c r="B91">
        <f t="shared" ref="B91" si="7">I72/4</f>
        <v>0.75</v>
      </c>
      <c r="I91" t="s">
        <v>234</v>
      </c>
      <c r="J91">
        <f t="shared" si="6"/>
        <v>1</v>
      </c>
      <c r="N91" t="s">
        <v>234</v>
      </c>
      <c r="O91">
        <f t="shared" si="5"/>
        <v>0.66666666666666663</v>
      </c>
    </row>
    <row r="93" spans="1:15" x14ac:dyDescent="0.35">
      <c r="A93" t="s">
        <v>267</v>
      </c>
      <c r="I93" t="s">
        <v>191</v>
      </c>
      <c r="N93" t="s">
        <v>268</v>
      </c>
    </row>
    <row r="94" spans="1:15" x14ac:dyDescent="0.35">
      <c r="A94" t="s">
        <v>168</v>
      </c>
      <c r="B94">
        <f>1/L67</f>
        <v>0.25</v>
      </c>
      <c r="I94" t="s">
        <v>168</v>
      </c>
      <c r="J94" s="19">
        <f>M67/7</f>
        <v>0.42857142857142855</v>
      </c>
      <c r="K94" s="19"/>
      <c r="N94" t="s">
        <v>168</v>
      </c>
      <c r="O94" s="22">
        <f>2/N67</f>
        <v>1</v>
      </c>
    </row>
    <row r="95" spans="1:15" x14ac:dyDescent="0.35">
      <c r="A95" t="s">
        <v>169</v>
      </c>
      <c r="B95">
        <f>1/L68</f>
        <v>1</v>
      </c>
      <c r="I95" t="s">
        <v>169</v>
      </c>
      <c r="J95" s="22">
        <f>M68/7</f>
        <v>1</v>
      </c>
      <c r="K95" s="19"/>
      <c r="N95" t="s">
        <v>169</v>
      </c>
      <c r="O95" s="22">
        <f>2/N68</f>
        <v>1</v>
      </c>
    </row>
    <row r="96" spans="1:15" x14ac:dyDescent="0.35">
      <c r="A96" t="s">
        <v>170</v>
      </c>
      <c r="B96">
        <f>1/L69</f>
        <v>0.5</v>
      </c>
      <c r="I96" t="s">
        <v>170</v>
      </c>
      <c r="J96" s="22">
        <f t="shared" ref="J96:J99" si="8">M69/7</f>
        <v>1</v>
      </c>
      <c r="N96" t="s">
        <v>170</v>
      </c>
      <c r="O96" s="22">
        <f t="shared" ref="O96" si="9">2/N69</f>
        <v>1</v>
      </c>
    </row>
    <row r="97" spans="1:16" x14ac:dyDescent="0.35">
      <c r="A97" t="s">
        <v>223</v>
      </c>
      <c r="B97">
        <f>1/L70</f>
        <v>0.5</v>
      </c>
      <c r="I97" t="s">
        <v>223</v>
      </c>
      <c r="J97" s="22">
        <f t="shared" si="8"/>
        <v>1</v>
      </c>
      <c r="N97" t="s">
        <v>223</v>
      </c>
      <c r="O97" s="19">
        <f>2/N70</f>
        <v>0.66666666666666663</v>
      </c>
    </row>
    <row r="98" spans="1:16" x14ac:dyDescent="0.35">
      <c r="A98" t="s">
        <v>229</v>
      </c>
      <c r="B98">
        <f>1/L71</f>
        <v>1</v>
      </c>
      <c r="I98" t="s">
        <v>229</v>
      </c>
      <c r="J98" s="22">
        <f t="shared" si="8"/>
        <v>1</v>
      </c>
      <c r="N98" t="s">
        <v>229</v>
      </c>
      <c r="O98" s="22">
        <f t="shared" ref="O98:O99" si="10">2/N71</f>
        <v>1</v>
      </c>
    </row>
    <row r="99" spans="1:16" x14ac:dyDescent="0.35">
      <c r="A99" t="s">
        <v>234</v>
      </c>
      <c r="B99">
        <f t="shared" ref="B99" si="11">1/L72</f>
        <v>1</v>
      </c>
      <c r="I99" t="s">
        <v>234</v>
      </c>
      <c r="J99" s="22">
        <f t="shared" si="8"/>
        <v>1</v>
      </c>
      <c r="N99" t="s">
        <v>234</v>
      </c>
      <c r="O99" s="22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194</v>
      </c>
    </row>
    <row r="103" spans="1:16" x14ac:dyDescent="0.35">
      <c r="A103" s="9" t="s">
        <v>179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5">
      <c r="A104" s="9" t="s">
        <v>168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169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170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223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229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234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195</v>
      </c>
    </row>
    <row r="113" spans="1:18" x14ac:dyDescent="0.35">
      <c r="A113" s="9" t="s">
        <v>179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196</v>
      </c>
      <c r="P113" s="9" t="s">
        <v>197</v>
      </c>
    </row>
    <row r="114" spans="1:18" x14ac:dyDescent="0.35">
      <c r="A114" s="9" t="s">
        <v>168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169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170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223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229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234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zoomScale="88" workbookViewId="0">
      <selection activeCell="M12" sqref="M12"/>
    </sheetView>
  </sheetViews>
  <sheetFormatPr defaultRowHeight="14.5" x14ac:dyDescent="0.35"/>
  <cols>
    <col min="1" max="1" width="19.6328125" customWidth="1"/>
    <col min="2" max="2" width="18.81640625" customWidth="1"/>
    <col min="3" max="3" width="10.1796875" customWidth="1"/>
    <col min="4" max="4" width="20.453125" customWidth="1"/>
    <col min="6" max="6" width="27.453125" customWidth="1"/>
    <col min="7" max="7" width="10.54296875" customWidth="1"/>
    <col min="8" max="8" width="11.08984375" customWidth="1"/>
    <col min="9" max="9" width="14.453125" customWidth="1"/>
    <col min="10" max="10" width="15.81640625" customWidth="1"/>
    <col min="11" max="11" width="13" customWidth="1"/>
    <col min="12" max="12" width="11.453125" customWidth="1"/>
    <col min="14" max="14" width="20.1796875" customWidth="1"/>
    <col min="18" max="18" width="17.453125" customWidth="1"/>
  </cols>
  <sheetData>
    <row r="1" spans="1:21" x14ac:dyDescent="0.35">
      <c r="A1" t="s">
        <v>151</v>
      </c>
      <c r="E1" t="s">
        <v>165</v>
      </c>
      <c r="U1" t="s">
        <v>40</v>
      </c>
    </row>
    <row r="2" spans="1:21" x14ac:dyDescent="0.35">
      <c r="U2" t="s">
        <v>64</v>
      </c>
    </row>
    <row r="3" spans="1:21" x14ac:dyDescent="0.35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324</v>
      </c>
      <c r="U3" t="s">
        <v>65</v>
      </c>
    </row>
    <row r="4" spans="1:21" x14ac:dyDescent="0.35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5">
      <c r="A5" s="9" t="s">
        <v>21</v>
      </c>
      <c r="B5" s="17" t="s">
        <v>2</v>
      </c>
      <c r="F5" t="s">
        <v>31</v>
      </c>
      <c r="G5">
        <v>1</v>
      </c>
      <c r="J5" t="s">
        <v>333</v>
      </c>
      <c r="K5">
        <v>1</v>
      </c>
      <c r="N5" t="s">
        <v>328</v>
      </c>
      <c r="O5">
        <v>1</v>
      </c>
      <c r="U5" t="s">
        <v>66</v>
      </c>
    </row>
    <row r="6" spans="1:21" x14ac:dyDescent="0.35">
      <c r="A6" s="9" t="s">
        <v>22</v>
      </c>
      <c r="B6" s="17" t="s">
        <v>3</v>
      </c>
      <c r="F6" t="s">
        <v>172</v>
      </c>
      <c r="G6">
        <v>2</v>
      </c>
      <c r="J6" t="s">
        <v>334</v>
      </c>
      <c r="K6">
        <v>2</v>
      </c>
      <c r="N6" t="s">
        <v>329</v>
      </c>
      <c r="O6">
        <v>2</v>
      </c>
      <c r="U6" t="s">
        <v>136</v>
      </c>
    </row>
    <row r="7" spans="1:21" x14ac:dyDescent="0.35">
      <c r="A7" s="9" t="s">
        <v>23</v>
      </c>
      <c r="B7" s="17" t="s">
        <v>4</v>
      </c>
      <c r="F7" t="s">
        <v>173</v>
      </c>
      <c r="G7">
        <v>3</v>
      </c>
      <c r="J7" t="s">
        <v>335</v>
      </c>
      <c r="K7">
        <v>3</v>
      </c>
    </row>
    <row r="8" spans="1:21" x14ac:dyDescent="0.35">
      <c r="A8" s="9" t="s">
        <v>24</v>
      </c>
      <c r="B8" s="17" t="s">
        <v>5</v>
      </c>
      <c r="F8" t="s">
        <v>174</v>
      </c>
      <c r="G8">
        <v>4</v>
      </c>
      <c r="J8" t="s">
        <v>336</v>
      </c>
      <c r="K8">
        <v>4</v>
      </c>
      <c r="U8" t="s">
        <v>1</v>
      </c>
    </row>
    <row r="9" spans="1:21" x14ac:dyDescent="0.35">
      <c r="A9" s="9" t="s">
        <v>25</v>
      </c>
      <c r="B9" s="17" t="s">
        <v>324</v>
      </c>
      <c r="F9" t="s">
        <v>35</v>
      </c>
      <c r="G9">
        <v>5</v>
      </c>
      <c r="J9" t="s">
        <v>147</v>
      </c>
      <c r="K9">
        <v>5</v>
      </c>
      <c r="U9" t="s">
        <v>134</v>
      </c>
    </row>
    <row r="10" spans="1:21" x14ac:dyDescent="0.35">
      <c r="A10" s="9" t="s">
        <v>26</v>
      </c>
      <c r="B10" s="17" t="s">
        <v>7</v>
      </c>
      <c r="U10" t="s">
        <v>72</v>
      </c>
    </row>
    <row r="11" spans="1:21" x14ac:dyDescent="0.35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U11" t="s">
        <v>73</v>
      </c>
    </row>
    <row r="12" spans="1:21" x14ac:dyDescent="0.35">
      <c r="A12" s="9"/>
      <c r="B12" s="17"/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U12" t="s">
        <v>74</v>
      </c>
    </row>
    <row r="13" spans="1:21" x14ac:dyDescent="0.35">
      <c r="B13" s="15"/>
      <c r="F13" t="s">
        <v>140</v>
      </c>
      <c r="G13">
        <v>1</v>
      </c>
      <c r="J13" t="s">
        <v>56</v>
      </c>
      <c r="K13">
        <v>1</v>
      </c>
      <c r="N13" t="s">
        <v>330</v>
      </c>
      <c r="O13">
        <v>1</v>
      </c>
      <c r="U13" t="s">
        <v>75</v>
      </c>
    </row>
    <row r="14" spans="1:21" x14ac:dyDescent="0.35">
      <c r="B14" s="15"/>
      <c r="F14" t="s">
        <v>180</v>
      </c>
      <c r="G14">
        <v>2</v>
      </c>
      <c r="J14" t="s">
        <v>142</v>
      </c>
      <c r="K14">
        <v>2</v>
      </c>
      <c r="N14" t="s">
        <v>331</v>
      </c>
      <c r="O14">
        <v>2</v>
      </c>
      <c r="U14" t="s">
        <v>76</v>
      </c>
    </row>
    <row r="15" spans="1:21" x14ac:dyDescent="0.35">
      <c r="A15" s="18" t="s">
        <v>150</v>
      </c>
      <c r="B15" s="15"/>
      <c r="F15" t="s">
        <v>181</v>
      </c>
      <c r="G15">
        <v>3</v>
      </c>
      <c r="J15" t="s">
        <v>57</v>
      </c>
      <c r="K15">
        <v>3</v>
      </c>
      <c r="U15" t="s">
        <v>74</v>
      </c>
    </row>
    <row r="16" spans="1:21" x14ac:dyDescent="0.35">
      <c r="A16" s="9"/>
      <c r="B16" s="15"/>
      <c r="F16" t="s">
        <v>182</v>
      </c>
      <c r="G16">
        <v>4</v>
      </c>
      <c r="J16" t="s">
        <v>58</v>
      </c>
      <c r="K16">
        <v>4</v>
      </c>
      <c r="U16" t="s">
        <v>135</v>
      </c>
    </row>
    <row r="17" spans="1:21" ht="43.5" x14ac:dyDescent="0.35">
      <c r="A17" s="15" t="s">
        <v>152</v>
      </c>
      <c r="B17" s="15" t="s">
        <v>153</v>
      </c>
      <c r="C17" s="15" t="s">
        <v>332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5">
      <c r="A18" s="9" t="s">
        <v>19</v>
      </c>
      <c r="B18" s="15" t="s">
        <v>154</v>
      </c>
      <c r="C18" s="30">
        <f>(1/9)* (1/1+ 1/2+ 1/3+1/4+1/5+1/6+ 1/7+ 1/8+ 1/9)</f>
        <v>0.31432980599647259</v>
      </c>
      <c r="M18" t="s">
        <v>27</v>
      </c>
      <c r="N18" t="s">
        <v>42</v>
      </c>
      <c r="U18" t="s">
        <v>139</v>
      </c>
    </row>
    <row r="19" spans="1:21" x14ac:dyDescent="0.35">
      <c r="A19" s="9" t="s">
        <v>20</v>
      </c>
      <c r="B19" s="15" t="s">
        <v>155</v>
      </c>
      <c r="C19" s="30">
        <f>(1/9)* (1/2+ 1/3+1/4+1/5+1/6+ 1/7+ 1/8+ 1/9)</f>
        <v>0.20321869488536154</v>
      </c>
      <c r="N19" t="s">
        <v>29</v>
      </c>
      <c r="O19" t="s">
        <v>11</v>
      </c>
    </row>
    <row r="20" spans="1:21" x14ac:dyDescent="0.35">
      <c r="A20" s="9" t="s">
        <v>21</v>
      </c>
      <c r="B20" s="15" t="s">
        <v>156</v>
      </c>
      <c r="C20" s="30">
        <f>(1/9)* (1/3+1/4+1/5+1/6+ 1/7+ 1/8+ 1/9)</f>
        <v>0.14766313932980599</v>
      </c>
      <c r="N20" t="s">
        <v>176</v>
      </c>
      <c r="O20">
        <v>1</v>
      </c>
    </row>
    <row r="21" spans="1:21" x14ac:dyDescent="0.35">
      <c r="A21" s="9" t="s">
        <v>22</v>
      </c>
      <c r="B21" s="15" t="s">
        <v>157</v>
      </c>
      <c r="C21" s="30">
        <f>(1/9)* (1/4+1/5+1/6+ 1/7+ 1/8+ 1/9)</f>
        <v>0.11062610229276895</v>
      </c>
      <c r="E21" t="s">
        <v>21</v>
      </c>
      <c r="F21" t="s">
        <v>2</v>
      </c>
      <c r="I21" t="s">
        <v>24</v>
      </c>
      <c r="J21" t="s">
        <v>5</v>
      </c>
      <c r="N21" t="s">
        <v>175</v>
      </c>
      <c r="O21">
        <v>2</v>
      </c>
    </row>
    <row r="22" spans="1:21" x14ac:dyDescent="0.35">
      <c r="A22" s="9" t="s">
        <v>23</v>
      </c>
      <c r="B22" s="15" t="s">
        <v>158</v>
      </c>
      <c r="C22" s="30">
        <f>(1/9)* (1/5+1/6+ 1/7+ 1/8+ 1/9)</f>
        <v>8.2848324514991176E-2</v>
      </c>
      <c r="F22" t="s">
        <v>39</v>
      </c>
      <c r="G22" t="s">
        <v>11</v>
      </c>
      <c r="J22" t="s">
        <v>29</v>
      </c>
      <c r="K22" t="s">
        <v>11</v>
      </c>
    </row>
    <row r="23" spans="1:21" x14ac:dyDescent="0.35">
      <c r="A23" s="9" t="s">
        <v>24</v>
      </c>
      <c r="B23" s="15" t="s">
        <v>159</v>
      </c>
      <c r="C23" s="30">
        <f>(1/9)* (1/6+ 1/7+ 1/8+ 1/9)</f>
        <v>6.0626102292768963E-2</v>
      </c>
      <c r="F23" t="s">
        <v>50</v>
      </c>
      <c r="G23">
        <v>1</v>
      </c>
      <c r="J23" t="s">
        <v>59</v>
      </c>
      <c r="K23">
        <v>1</v>
      </c>
    </row>
    <row r="24" spans="1:21" x14ac:dyDescent="0.35">
      <c r="A24" s="9" t="s">
        <v>25</v>
      </c>
      <c r="B24" s="15" t="s">
        <v>160</v>
      </c>
      <c r="C24" s="30">
        <f>(1/9)* (1/7+ 1/8+ 1/9)</f>
        <v>4.2107583774250439E-2</v>
      </c>
      <c r="F24" t="s">
        <v>46</v>
      </c>
      <c r="G24">
        <v>2</v>
      </c>
      <c r="J24" t="s">
        <v>60</v>
      </c>
      <c r="K24">
        <v>2</v>
      </c>
    </row>
    <row r="25" spans="1:21" x14ac:dyDescent="0.35">
      <c r="A25" s="9" t="s">
        <v>26</v>
      </c>
      <c r="B25" s="15" t="s">
        <v>161</v>
      </c>
      <c r="C25" s="30">
        <f>(1/9)* (1/8+ 1/9)</f>
        <v>2.6234567901234566E-2</v>
      </c>
      <c r="F25" t="s">
        <v>47</v>
      </c>
      <c r="G25">
        <v>3</v>
      </c>
      <c r="J25" t="s">
        <v>61</v>
      </c>
      <c r="K25">
        <v>3</v>
      </c>
    </row>
    <row r="26" spans="1:21" x14ac:dyDescent="0.35">
      <c r="A26" s="9" t="s">
        <v>27</v>
      </c>
      <c r="B26" s="15" t="s">
        <v>162</v>
      </c>
      <c r="C26" s="30">
        <f>(1/9)* (1/9)</f>
        <v>1.2345679012345678E-2</v>
      </c>
      <c r="F26" t="s">
        <v>48</v>
      </c>
      <c r="G26">
        <v>4</v>
      </c>
      <c r="J26" t="s">
        <v>62</v>
      </c>
      <c r="K26">
        <v>4</v>
      </c>
    </row>
    <row r="27" spans="1:21" x14ac:dyDescent="0.35">
      <c r="A27" s="9"/>
      <c r="B27" s="15"/>
      <c r="C27" s="30">
        <f>SUM(C18:C26)</f>
        <v>0.99999999999999978</v>
      </c>
      <c r="F27" t="s">
        <v>49</v>
      </c>
      <c r="G27">
        <v>5</v>
      </c>
      <c r="J27" t="s">
        <v>63</v>
      </c>
      <c r="K27">
        <v>5</v>
      </c>
    </row>
    <row r="28" spans="1:21" x14ac:dyDescent="0.35">
      <c r="A28" s="4"/>
      <c r="B28" s="4"/>
      <c r="C28" s="4"/>
    </row>
    <row r="30" spans="1:21" x14ac:dyDescent="0.35">
      <c r="A30" s="18" t="s">
        <v>163</v>
      </c>
    </row>
    <row r="32" spans="1:21" x14ac:dyDescent="0.35">
      <c r="A32" s="15" t="s">
        <v>152</v>
      </c>
      <c r="B32" s="9" t="s">
        <v>164</v>
      </c>
    </row>
    <row r="33" spans="1:12" x14ac:dyDescent="0.35">
      <c r="A33" s="9" t="s">
        <v>19</v>
      </c>
      <c r="B33" s="9" t="s">
        <v>37</v>
      </c>
    </row>
    <row r="34" spans="1:12" x14ac:dyDescent="0.35">
      <c r="A34" s="9" t="s">
        <v>20</v>
      </c>
      <c r="B34" s="9" t="s">
        <v>38</v>
      </c>
    </row>
    <row r="35" spans="1:12" x14ac:dyDescent="0.35">
      <c r="A35" s="9" t="s">
        <v>21</v>
      </c>
      <c r="B35" s="9" t="s">
        <v>38</v>
      </c>
    </row>
    <row r="36" spans="1:12" x14ac:dyDescent="0.35">
      <c r="A36" s="9" t="s">
        <v>22</v>
      </c>
      <c r="B36" s="9" t="s">
        <v>37</v>
      </c>
    </row>
    <row r="37" spans="1:12" x14ac:dyDescent="0.35">
      <c r="A37" s="9" t="s">
        <v>23</v>
      </c>
      <c r="B37" s="9" t="s">
        <v>38</v>
      </c>
    </row>
    <row r="38" spans="1:12" x14ac:dyDescent="0.35">
      <c r="A38" s="9" t="s">
        <v>24</v>
      </c>
      <c r="B38" s="9" t="s">
        <v>37</v>
      </c>
    </row>
    <row r="39" spans="1:12" x14ac:dyDescent="0.35">
      <c r="A39" s="9" t="s">
        <v>25</v>
      </c>
      <c r="B39" s="9" t="s">
        <v>38</v>
      </c>
    </row>
    <row r="40" spans="1:12" x14ac:dyDescent="0.35">
      <c r="A40" s="9" t="s">
        <v>26</v>
      </c>
      <c r="B40" s="9" t="s">
        <v>38</v>
      </c>
    </row>
    <row r="41" spans="1:12" x14ac:dyDescent="0.35">
      <c r="A41" s="9" t="s">
        <v>27</v>
      </c>
      <c r="B41" s="9" t="s">
        <v>38</v>
      </c>
    </row>
    <row r="42" spans="1:12" x14ac:dyDescent="0.35">
      <c r="A42" s="9" t="s">
        <v>28</v>
      </c>
      <c r="B42" s="9" t="s">
        <v>38</v>
      </c>
    </row>
    <row r="46" spans="1:12" x14ac:dyDescent="0.35">
      <c r="A46" s="9" t="s">
        <v>166</v>
      </c>
    </row>
    <row r="47" spans="1:12" x14ac:dyDescent="0.35">
      <c r="A47" s="18"/>
    </row>
    <row r="48" spans="1:12" ht="43.5" x14ac:dyDescent="0.35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5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5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5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5">
      <c r="A54" t="s">
        <v>167</v>
      </c>
    </row>
    <row r="56" spans="1:12" x14ac:dyDescent="0.35">
      <c r="A56" s="9" t="s">
        <v>149</v>
      </c>
      <c r="B56" s="9" t="s">
        <v>171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5">
      <c r="A57" s="9" t="s">
        <v>168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5">
      <c r="A58" s="9" t="s">
        <v>169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5">
      <c r="A59" s="9" t="s">
        <v>170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5">
      <c r="A63" t="s">
        <v>178</v>
      </c>
    </row>
    <row r="65" spans="1:11" x14ac:dyDescent="0.35">
      <c r="A65" s="9" t="s">
        <v>179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5">
      <c r="A66" s="9" t="s">
        <v>168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5">
      <c r="A67" s="9" t="s">
        <v>169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5">
      <c r="A68" s="9" t="s">
        <v>170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5">
      <c r="A70" s="18" t="s">
        <v>183</v>
      </c>
    </row>
    <row r="73" spans="1:11" x14ac:dyDescent="0.35">
      <c r="A73" t="s">
        <v>184</v>
      </c>
      <c r="E73" t="s">
        <v>185</v>
      </c>
      <c r="I73" t="s">
        <v>186</v>
      </c>
    </row>
    <row r="74" spans="1:11" x14ac:dyDescent="0.35">
      <c r="A74" t="s">
        <v>168</v>
      </c>
      <c r="B74" t="e">
        <f>2/B66</f>
        <v>#DIV/0!</v>
      </c>
      <c r="E74" t="s">
        <v>168</v>
      </c>
      <c r="F74">
        <f>C66/4</f>
        <v>0</v>
      </c>
      <c r="I74" t="s">
        <v>168</v>
      </c>
      <c r="J74">
        <f>D66/4</f>
        <v>0</v>
      </c>
    </row>
    <row r="75" spans="1:11" x14ac:dyDescent="0.35">
      <c r="A75" t="s">
        <v>169</v>
      </c>
      <c r="B75" t="e">
        <f t="shared" ref="B75:B76" si="0">2/B67</f>
        <v>#DIV/0!</v>
      </c>
      <c r="E75" t="s">
        <v>169</v>
      </c>
      <c r="F75">
        <f t="shared" ref="F75:F76" si="1">C67/4</f>
        <v>0</v>
      </c>
      <c r="I75" t="s">
        <v>169</v>
      </c>
      <c r="J75">
        <f t="shared" ref="J75:J76" si="2">D67/4</f>
        <v>0</v>
      </c>
    </row>
    <row r="76" spans="1:11" x14ac:dyDescent="0.35">
      <c r="A76" t="s">
        <v>170</v>
      </c>
      <c r="B76" t="e">
        <f t="shared" si="0"/>
        <v>#DIV/0!</v>
      </c>
      <c r="E76" t="s">
        <v>170</v>
      </c>
      <c r="F76">
        <f t="shared" si="1"/>
        <v>0</v>
      </c>
      <c r="I76" t="s">
        <v>170</v>
      </c>
      <c r="J76">
        <f t="shared" si="2"/>
        <v>0</v>
      </c>
    </row>
    <row r="79" spans="1:11" x14ac:dyDescent="0.35">
      <c r="A79" t="s">
        <v>187</v>
      </c>
      <c r="E79" t="s">
        <v>188</v>
      </c>
      <c r="I79" t="s">
        <v>189</v>
      </c>
    </row>
    <row r="80" spans="1:11" x14ac:dyDescent="0.35">
      <c r="A80" t="s">
        <v>168</v>
      </c>
      <c r="B80" t="e">
        <f>3/E66</f>
        <v>#DIV/0!</v>
      </c>
      <c r="E80" t="s">
        <v>168</v>
      </c>
      <c r="F80">
        <f>F66/5</f>
        <v>0</v>
      </c>
      <c r="I80" t="s">
        <v>168</v>
      </c>
      <c r="J80" t="e">
        <f>3/G66</f>
        <v>#DIV/0!</v>
      </c>
    </row>
    <row r="81" spans="1:10" x14ac:dyDescent="0.35">
      <c r="A81" t="s">
        <v>169</v>
      </c>
      <c r="B81" t="e">
        <f t="shared" ref="B81:B82" si="3">3/E67</f>
        <v>#DIV/0!</v>
      </c>
      <c r="E81" t="s">
        <v>169</v>
      </c>
      <c r="F81">
        <f t="shared" ref="F81:F82" si="4">F67/5</f>
        <v>0</v>
      </c>
      <c r="I81" t="s">
        <v>169</v>
      </c>
      <c r="J81" t="e">
        <f t="shared" ref="J81:J82" si="5">3/G67</f>
        <v>#DIV/0!</v>
      </c>
    </row>
    <row r="82" spans="1:10" x14ac:dyDescent="0.35">
      <c r="A82" t="s">
        <v>170</v>
      </c>
      <c r="B82" t="e">
        <f t="shared" si="3"/>
        <v>#DIV/0!</v>
      </c>
      <c r="E82" t="s">
        <v>170</v>
      </c>
      <c r="F82">
        <f t="shared" si="4"/>
        <v>0</v>
      </c>
      <c r="I82" t="s">
        <v>170</v>
      </c>
      <c r="J82" t="e">
        <f t="shared" si="5"/>
        <v>#DIV/0!</v>
      </c>
    </row>
    <row r="85" spans="1:10" x14ac:dyDescent="0.35">
      <c r="A85" t="s">
        <v>190</v>
      </c>
      <c r="E85" t="s">
        <v>191</v>
      </c>
      <c r="I85" t="s">
        <v>192</v>
      </c>
    </row>
    <row r="86" spans="1:10" x14ac:dyDescent="0.35">
      <c r="A86" t="s">
        <v>168</v>
      </c>
      <c r="B86">
        <f>H66/4</f>
        <v>0</v>
      </c>
      <c r="E86" t="s">
        <v>168</v>
      </c>
      <c r="F86" s="19">
        <f>I66/3</f>
        <v>0</v>
      </c>
      <c r="I86" t="s">
        <v>168</v>
      </c>
      <c r="J86" s="19">
        <f>J66/3</f>
        <v>0</v>
      </c>
    </row>
    <row r="87" spans="1:10" x14ac:dyDescent="0.35">
      <c r="A87" t="s">
        <v>169</v>
      </c>
      <c r="B87">
        <f t="shared" ref="B87:B88" si="6">H67/4</f>
        <v>0</v>
      </c>
      <c r="E87" t="s">
        <v>169</v>
      </c>
      <c r="F87" s="19">
        <f>I67/3</f>
        <v>0</v>
      </c>
      <c r="I87" t="s">
        <v>169</v>
      </c>
      <c r="J87" s="19">
        <f>J67/3</f>
        <v>0</v>
      </c>
    </row>
    <row r="88" spans="1:10" x14ac:dyDescent="0.35">
      <c r="A88" t="s">
        <v>170</v>
      </c>
      <c r="B88">
        <f t="shared" si="6"/>
        <v>0</v>
      </c>
      <c r="E88" t="s">
        <v>170</v>
      </c>
      <c r="F88">
        <f t="shared" ref="F88" si="7">I68/3</f>
        <v>0</v>
      </c>
      <c r="I88" t="s">
        <v>170</v>
      </c>
      <c r="J88">
        <f t="shared" ref="J88" si="8">J68/3</f>
        <v>0</v>
      </c>
    </row>
    <row r="91" spans="1:10" x14ac:dyDescent="0.35">
      <c r="E91" t="s">
        <v>193</v>
      </c>
    </row>
    <row r="92" spans="1:10" x14ac:dyDescent="0.35">
      <c r="E92" t="s">
        <v>168</v>
      </c>
      <c r="F92" s="19">
        <f>K66/3</f>
        <v>0</v>
      </c>
    </row>
    <row r="93" spans="1:10" x14ac:dyDescent="0.35">
      <c r="E93" t="s">
        <v>169</v>
      </c>
      <c r="F93" s="19">
        <f>K67/3</f>
        <v>0</v>
      </c>
    </row>
    <row r="94" spans="1:10" x14ac:dyDescent="0.35">
      <c r="E94" t="s">
        <v>170</v>
      </c>
      <c r="F94">
        <f t="shared" ref="F94" si="9">K68/3</f>
        <v>0</v>
      </c>
    </row>
    <row r="98" spans="1:13" x14ac:dyDescent="0.35">
      <c r="A98" t="s">
        <v>194</v>
      </c>
    </row>
    <row r="100" spans="1:13" x14ac:dyDescent="0.35">
      <c r="A100" s="9" t="s">
        <v>179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5">
      <c r="A101" s="9" t="s">
        <v>168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5">
      <c r="A102" s="9" t="s">
        <v>169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5">
      <c r="A103" s="9" t="s">
        <v>170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5">
      <c r="A107" t="s">
        <v>195</v>
      </c>
    </row>
    <row r="109" spans="1:13" x14ac:dyDescent="0.35">
      <c r="A109" s="9" t="s">
        <v>179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196</v>
      </c>
      <c r="M109" s="9" t="s">
        <v>197</v>
      </c>
    </row>
    <row r="110" spans="1:13" x14ac:dyDescent="0.35">
      <c r="A110" s="9" t="s">
        <v>168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5">
      <c r="A111" s="9" t="s">
        <v>169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5">
      <c r="A112" s="9" t="s">
        <v>170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topLeftCell="G1" workbookViewId="0">
      <selection activeCell="B4" sqref="B4"/>
    </sheetView>
  </sheetViews>
  <sheetFormatPr defaultRowHeight="14.5" x14ac:dyDescent="0.35"/>
  <cols>
    <col min="1" max="1" width="20.08984375" customWidth="1"/>
    <col min="2" max="2" width="21.1796875" customWidth="1"/>
    <col min="3" max="3" width="22.1796875" customWidth="1"/>
  </cols>
  <sheetData>
    <row r="1" spans="1:3" ht="29" x14ac:dyDescent="0.35">
      <c r="A1" s="16" t="s">
        <v>285</v>
      </c>
      <c r="B1" s="9" t="s">
        <v>295</v>
      </c>
      <c r="C1" s="26" t="s">
        <v>286</v>
      </c>
    </row>
    <row r="2" spans="1:3" x14ac:dyDescent="0.35">
      <c r="A2" s="7" t="s">
        <v>287</v>
      </c>
      <c r="B2" t="s">
        <v>296</v>
      </c>
      <c r="C2" s="25">
        <v>92</v>
      </c>
    </row>
    <row r="3" spans="1:3" x14ac:dyDescent="0.35">
      <c r="A3" s="7" t="s">
        <v>288</v>
      </c>
      <c r="B3" t="s">
        <v>297</v>
      </c>
      <c r="C3" s="25">
        <v>55</v>
      </c>
    </row>
    <row r="4" spans="1:3" ht="43.5" x14ac:dyDescent="0.35">
      <c r="A4" s="7" t="s">
        <v>289</v>
      </c>
      <c r="C4" s="25">
        <v>92</v>
      </c>
    </row>
    <row r="5" spans="1:3" ht="29" x14ac:dyDescent="0.35">
      <c r="A5" s="7" t="s">
        <v>290</v>
      </c>
      <c r="C5" s="25">
        <v>54</v>
      </c>
    </row>
    <row r="6" spans="1:3" ht="29" x14ac:dyDescent="0.35">
      <c r="A6" s="7" t="s">
        <v>291</v>
      </c>
      <c r="C6" s="25">
        <v>92</v>
      </c>
    </row>
    <row r="7" spans="1:3" x14ac:dyDescent="0.35">
      <c r="A7" s="7" t="s">
        <v>292</v>
      </c>
      <c r="C7" s="25">
        <v>92</v>
      </c>
    </row>
    <row r="8" spans="1:3" ht="29" x14ac:dyDescent="0.35">
      <c r="A8" s="7" t="s">
        <v>293</v>
      </c>
      <c r="C8" s="27">
        <v>95</v>
      </c>
    </row>
    <row r="9" spans="1:3" x14ac:dyDescent="0.35">
      <c r="A9" s="7" t="s">
        <v>294</v>
      </c>
      <c r="C9" s="27">
        <v>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3"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kost rapi</vt:lpstr>
      <vt:lpstr>Bobot Kriteria</vt:lpstr>
      <vt:lpstr>Studi Kasus for me</vt:lpstr>
      <vt:lpstr>Studi Kasus for jurnal</vt:lpstr>
      <vt:lpstr>Hasil Bab 4</vt:lpstr>
      <vt:lpstr>Metode Sample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2026-01-29T09:46:32Z</dcterms:modified>
</cp:coreProperties>
</file>