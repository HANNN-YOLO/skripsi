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PROPOSAL SKRIPSI\skripsi\Excel\"/>
    </mc:Choice>
  </mc:AlternateContent>
  <xr:revisionPtr revIDLastSave="0" documentId="13_ncr:1_{19127D51-ED8D-421B-A6F9-C3F618228EF5}" xr6:coauthVersionLast="47" xr6:coauthVersionMax="47" xr10:uidLastSave="{00000000-0000-0000-0000-000000000000}"/>
  <bookViews>
    <workbookView xWindow="-110" yWindow="-110" windowWidth="25820" windowHeight="15500" tabRatio="691" activeTab="1" xr2:uid="{901D0503-6946-40CA-8D36-37B156763246}"/>
  </bookViews>
  <sheets>
    <sheet name="Kost" sheetId="3" r:id="rId1"/>
    <sheet name="kost rapi" sheetId="11" r:id="rId2"/>
    <sheet name="Studi Kasus for me awalan" sheetId="4" r:id="rId3"/>
    <sheet name="Studi Kasus for me revisi" sheetId="12" r:id="rId4"/>
    <sheet name="Sheet1" sheetId="13" r:id="rId5"/>
    <sheet name="Studi Kasus for jurnal" sheetId="8" r:id="rId6"/>
    <sheet name="Ressponden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1" i="12" l="1"/>
  <c r="I179" i="12"/>
  <c r="C179" i="12"/>
  <c r="J181" i="12"/>
  <c r="I181" i="12"/>
  <c r="J179" i="12"/>
  <c r="D2" i="13"/>
  <c r="C4" i="13"/>
  <c r="C3" i="13"/>
  <c r="C2" i="13"/>
  <c r="G170" i="12"/>
  <c r="J182" i="12"/>
  <c r="J172" i="12"/>
  <c r="J171" i="12"/>
  <c r="J170" i="12"/>
  <c r="J169" i="12"/>
  <c r="J167" i="12"/>
  <c r="L148" i="12"/>
  <c r="L149" i="12"/>
  <c r="L150" i="12"/>
  <c r="L151" i="12"/>
  <c r="L152" i="12"/>
  <c r="J173" i="12" s="1"/>
  <c r="L153" i="12"/>
  <c r="J174" i="12" s="1"/>
  <c r="L154" i="12"/>
  <c r="J175" i="12" s="1"/>
  <c r="J148" i="12"/>
  <c r="J154" i="12"/>
  <c r="J158" i="12"/>
  <c r="J161" i="12"/>
  <c r="G138" i="12"/>
  <c r="I158" i="12" s="1"/>
  <c r="B138" i="12"/>
  <c r="H158" i="12" s="1"/>
  <c r="G120" i="12"/>
  <c r="F158" i="12" s="1"/>
  <c r="F179" i="12" s="1"/>
  <c r="L102" i="12"/>
  <c r="D158" i="12" s="1"/>
  <c r="Q127" i="12"/>
  <c r="L147" i="12" s="1"/>
  <c r="J168" i="12" s="1"/>
  <c r="Q128" i="12"/>
  <c r="Q129" i="12"/>
  <c r="Q130" i="12"/>
  <c r="Q131" i="12"/>
  <c r="Q132" i="12"/>
  <c r="Q133" i="12"/>
  <c r="Q134" i="12"/>
  <c r="Q135" i="12"/>
  <c r="L155" i="12" s="1"/>
  <c r="J176" i="12" s="1"/>
  <c r="Q136" i="12"/>
  <c r="L156" i="12" s="1"/>
  <c r="J177" i="12" s="1"/>
  <c r="Q137" i="12"/>
  <c r="L157" i="12" s="1"/>
  <c r="J178" i="12" s="1"/>
  <c r="Q138" i="12"/>
  <c r="L158" i="12" s="1"/>
  <c r="Q139" i="12"/>
  <c r="L159" i="12" s="1"/>
  <c r="J180" i="12" s="1"/>
  <c r="Q140" i="12"/>
  <c r="L160" i="12" s="1"/>
  <c r="Q141" i="12"/>
  <c r="L161" i="12" s="1"/>
  <c r="Q126" i="12"/>
  <c r="L146" i="12" s="1"/>
  <c r="L126" i="12"/>
  <c r="J146" i="12" s="1"/>
  <c r="K178" i="4"/>
  <c r="G182" i="12"/>
  <c r="F182" i="12"/>
  <c r="X170" i="12"/>
  <c r="E158" i="12"/>
  <c r="E179" i="12" s="1"/>
  <c r="C158" i="12"/>
  <c r="C149" i="12"/>
  <c r="B149" i="12"/>
  <c r="L141" i="12"/>
  <c r="G141" i="12"/>
  <c r="I161" i="12" s="1"/>
  <c r="I182" i="12" s="1"/>
  <c r="B141" i="12"/>
  <c r="H161" i="12" s="1"/>
  <c r="H182" i="12" s="1"/>
  <c r="L140" i="12"/>
  <c r="J160" i="12" s="1"/>
  <c r="G140" i="12"/>
  <c r="I160" i="12" s="1"/>
  <c r="B140" i="12"/>
  <c r="H160" i="12" s="1"/>
  <c r="H181" i="12" s="1"/>
  <c r="L139" i="12"/>
  <c r="J159" i="12" s="1"/>
  <c r="G139" i="12"/>
  <c r="I159" i="12" s="1"/>
  <c r="B139" i="12"/>
  <c r="H159" i="12" s="1"/>
  <c r="L138" i="12"/>
  <c r="L137" i="12"/>
  <c r="J157" i="12" s="1"/>
  <c r="G137" i="12"/>
  <c r="I157" i="12" s="1"/>
  <c r="B137" i="12"/>
  <c r="H157" i="12" s="1"/>
  <c r="L136" i="12"/>
  <c r="J156" i="12" s="1"/>
  <c r="G136" i="12"/>
  <c r="I156" i="12" s="1"/>
  <c r="B136" i="12"/>
  <c r="H156" i="12" s="1"/>
  <c r="Y177" i="12" s="1"/>
  <c r="L135" i="12"/>
  <c r="J155" i="12" s="1"/>
  <c r="G135" i="12"/>
  <c r="I155" i="12" s="1"/>
  <c r="Z176" i="12" s="1"/>
  <c r="B135" i="12"/>
  <c r="H155" i="12" s="1"/>
  <c r="Y176" i="12" s="1"/>
  <c r="L134" i="12"/>
  <c r="G134" i="12"/>
  <c r="I154" i="12" s="1"/>
  <c r="I174" i="12" s="1"/>
  <c r="B134" i="12"/>
  <c r="H154" i="12" s="1"/>
  <c r="H175" i="12" s="1"/>
  <c r="L133" i="12"/>
  <c r="J153" i="12" s="1"/>
  <c r="G133" i="12"/>
  <c r="I153" i="12" s="1"/>
  <c r="B133" i="12"/>
  <c r="H153" i="12" s="1"/>
  <c r="Y187" i="12" s="1"/>
  <c r="L132" i="12"/>
  <c r="J152" i="12" s="1"/>
  <c r="G132" i="12"/>
  <c r="I152" i="12" s="1"/>
  <c r="B132" i="12"/>
  <c r="H152" i="12" s="1"/>
  <c r="L131" i="12"/>
  <c r="G131" i="12"/>
  <c r="I151" i="12" s="1"/>
  <c r="B131" i="12"/>
  <c r="H151" i="12" s="1"/>
  <c r="L130" i="12"/>
  <c r="J150" i="12" s="1"/>
  <c r="G130" i="12"/>
  <c r="I150" i="12" s="1"/>
  <c r="Z171" i="12" s="1"/>
  <c r="B130" i="12"/>
  <c r="H150" i="12" s="1"/>
  <c r="Y171" i="12" s="1"/>
  <c r="L129" i="12"/>
  <c r="J149" i="12" s="1"/>
  <c r="G129" i="12"/>
  <c r="I149" i="12" s="1"/>
  <c r="B129" i="12"/>
  <c r="H149" i="12" s="1"/>
  <c r="H170" i="12" s="1"/>
  <c r="L128" i="12"/>
  <c r="G128" i="12"/>
  <c r="I148" i="12" s="1"/>
  <c r="I169" i="12" s="1"/>
  <c r="B128" i="12"/>
  <c r="H148" i="12" s="1"/>
  <c r="H169" i="12" s="1"/>
  <c r="L127" i="12"/>
  <c r="J147" i="12" s="1"/>
  <c r="G127" i="12"/>
  <c r="I147" i="12" s="1"/>
  <c r="B127" i="12"/>
  <c r="H147" i="12" s="1"/>
  <c r="G126" i="12"/>
  <c r="I146" i="12" s="1"/>
  <c r="B126" i="12"/>
  <c r="H146" i="12" s="1"/>
  <c r="L123" i="12"/>
  <c r="G161" i="12" s="1"/>
  <c r="X182" i="12" s="1"/>
  <c r="G123" i="12"/>
  <c r="F161" i="12" s="1"/>
  <c r="W182" i="12" s="1"/>
  <c r="B123" i="12"/>
  <c r="E161" i="12" s="1"/>
  <c r="E182" i="12" s="1"/>
  <c r="L122" i="12"/>
  <c r="G160" i="12" s="1"/>
  <c r="G122" i="12"/>
  <c r="F160" i="12" s="1"/>
  <c r="B122" i="12"/>
  <c r="E160" i="12" s="1"/>
  <c r="V181" i="12" s="1"/>
  <c r="L121" i="12"/>
  <c r="G159" i="12" s="1"/>
  <c r="G180" i="12" s="1"/>
  <c r="G121" i="12"/>
  <c r="F159" i="12" s="1"/>
  <c r="F180" i="12" s="1"/>
  <c r="B121" i="12"/>
  <c r="E159" i="12" s="1"/>
  <c r="L120" i="12"/>
  <c r="G158" i="12" s="1"/>
  <c r="B120" i="12"/>
  <c r="L119" i="12"/>
  <c r="G157" i="12" s="1"/>
  <c r="G119" i="12"/>
  <c r="F157" i="12" s="1"/>
  <c r="B119" i="12"/>
  <c r="E157" i="12" s="1"/>
  <c r="V189" i="12" s="1"/>
  <c r="L118" i="12"/>
  <c r="G156" i="12" s="1"/>
  <c r="G118" i="12"/>
  <c r="F156" i="12" s="1"/>
  <c r="F176" i="12" s="1"/>
  <c r="B118" i="12"/>
  <c r="E156" i="12" s="1"/>
  <c r="L117" i="12"/>
  <c r="G155" i="12" s="1"/>
  <c r="G176" i="12" s="1"/>
  <c r="G117" i="12"/>
  <c r="F155" i="12" s="1"/>
  <c r="W176" i="12" s="1"/>
  <c r="B117" i="12"/>
  <c r="E155" i="12" s="1"/>
  <c r="L116" i="12"/>
  <c r="G154" i="12" s="1"/>
  <c r="G175" i="12" s="1"/>
  <c r="G116" i="12"/>
  <c r="F154" i="12" s="1"/>
  <c r="F175" i="12" s="1"/>
  <c r="B116" i="12"/>
  <c r="E154" i="12" s="1"/>
  <c r="L115" i="12"/>
  <c r="G153" i="12" s="1"/>
  <c r="X174" i="12" s="1"/>
  <c r="G115" i="12"/>
  <c r="F153" i="12" s="1"/>
  <c r="W187" i="12" s="1"/>
  <c r="B115" i="12"/>
  <c r="E153" i="12" s="1"/>
  <c r="L114" i="12"/>
  <c r="G152" i="12" s="1"/>
  <c r="G173" i="12" s="1"/>
  <c r="G114" i="12"/>
  <c r="F152" i="12" s="1"/>
  <c r="F173" i="12" s="1"/>
  <c r="B114" i="12"/>
  <c r="E152" i="12" s="1"/>
  <c r="E173" i="12" s="1"/>
  <c r="L113" i="12"/>
  <c r="G151" i="12" s="1"/>
  <c r="G113" i="12"/>
  <c r="F151" i="12" s="1"/>
  <c r="B113" i="12"/>
  <c r="E151" i="12" s="1"/>
  <c r="V172" i="12" s="1"/>
  <c r="L112" i="12"/>
  <c r="G150" i="12" s="1"/>
  <c r="G112" i="12"/>
  <c r="F150" i="12" s="1"/>
  <c r="B112" i="12"/>
  <c r="E150" i="12" s="1"/>
  <c r="L111" i="12"/>
  <c r="G149" i="12" s="1"/>
  <c r="G111" i="12"/>
  <c r="F149" i="12" s="1"/>
  <c r="W170" i="12" s="1"/>
  <c r="B111" i="12"/>
  <c r="E149" i="12" s="1"/>
  <c r="E170" i="12" s="1"/>
  <c r="L110" i="12"/>
  <c r="G148" i="12" s="1"/>
  <c r="G110" i="12"/>
  <c r="F148" i="12" s="1"/>
  <c r="W169" i="12" s="1"/>
  <c r="B110" i="12"/>
  <c r="E148" i="12" s="1"/>
  <c r="V169" i="12" s="1"/>
  <c r="L109" i="12"/>
  <c r="G147" i="12" s="1"/>
  <c r="G168" i="12" s="1"/>
  <c r="G109" i="12"/>
  <c r="F147" i="12" s="1"/>
  <c r="B109" i="12"/>
  <c r="E147" i="12" s="1"/>
  <c r="L108" i="12"/>
  <c r="G146" i="12" s="1"/>
  <c r="G167" i="12" s="1"/>
  <c r="G108" i="12"/>
  <c r="F146" i="12" s="1"/>
  <c r="B108" i="12"/>
  <c r="E146" i="12" s="1"/>
  <c r="V167" i="12" s="1"/>
  <c r="L105" i="12"/>
  <c r="D161" i="12" s="1"/>
  <c r="G105" i="12"/>
  <c r="C161" i="12" s="1"/>
  <c r="B105" i="12"/>
  <c r="B161" i="12" s="1"/>
  <c r="L104" i="12"/>
  <c r="D160" i="12" s="1"/>
  <c r="U181" i="12" s="1"/>
  <c r="G104" i="12"/>
  <c r="C160" i="12" s="1"/>
  <c r="B104" i="12"/>
  <c r="B160" i="12" s="1"/>
  <c r="L103" i="12"/>
  <c r="D159" i="12" s="1"/>
  <c r="G103" i="12"/>
  <c r="C159" i="12" s="1"/>
  <c r="B103" i="12"/>
  <c r="B159" i="12" s="1"/>
  <c r="S180" i="12" s="1"/>
  <c r="G102" i="12"/>
  <c r="B102" i="12"/>
  <c r="B158" i="12" s="1"/>
  <c r="L101" i="12"/>
  <c r="D157" i="12" s="1"/>
  <c r="U178" i="12" s="1"/>
  <c r="G101" i="12"/>
  <c r="C157" i="12" s="1"/>
  <c r="T189" i="12" s="1"/>
  <c r="B101" i="12"/>
  <c r="B157" i="12" s="1"/>
  <c r="L100" i="12"/>
  <c r="D156" i="12" s="1"/>
  <c r="G100" i="12"/>
  <c r="C156" i="12" s="1"/>
  <c r="B100" i="12"/>
  <c r="B156" i="12" s="1"/>
  <c r="B177" i="12" s="1"/>
  <c r="L99" i="12"/>
  <c r="D155" i="12" s="1"/>
  <c r="G99" i="12"/>
  <c r="C155" i="12" s="1"/>
  <c r="B99" i="12"/>
  <c r="B155" i="12" s="1"/>
  <c r="L98" i="12"/>
  <c r="D154" i="12" s="1"/>
  <c r="G98" i="12"/>
  <c r="C154" i="12" s="1"/>
  <c r="B98" i="12"/>
  <c r="B154" i="12" s="1"/>
  <c r="L97" i="12"/>
  <c r="D153" i="12" s="1"/>
  <c r="U174" i="12" s="1"/>
  <c r="G97" i="12"/>
  <c r="C153" i="12" s="1"/>
  <c r="T185" i="12" s="1"/>
  <c r="B97" i="12"/>
  <c r="B153" i="12" s="1"/>
  <c r="S187" i="12" s="1"/>
  <c r="L96" i="12"/>
  <c r="D152" i="12" s="1"/>
  <c r="D173" i="12" s="1"/>
  <c r="G96" i="12"/>
  <c r="C152" i="12" s="1"/>
  <c r="C173" i="12" s="1"/>
  <c r="B96" i="12"/>
  <c r="B152" i="12" s="1"/>
  <c r="B173" i="12" s="1"/>
  <c r="L95" i="12"/>
  <c r="D151" i="12" s="1"/>
  <c r="U172" i="12" s="1"/>
  <c r="G95" i="12"/>
  <c r="C151" i="12" s="1"/>
  <c r="C172" i="12" s="1"/>
  <c r="B95" i="12"/>
  <c r="B151" i="12" s="1"/>
  <c r="S172" i="12" s="1"/>
  <c r="L94" i="12"/>
  <c r="D150" i="12" s="1"/>
  <c r="G94" i="12"/>
  <c r="C150" i="12" s="1"/>
  <c r="B94" i="12"/>
  <c r="B150" i="12" s="1"/>
  <c r="L93" i="12"/>
  <c r="D149" i="12" s="1"/>
  <c r="G93" i="12"/>
  <c r="B93" i="12"/>
  <c r="L92" i="12"/>
  <c r="D148" i="12" s="1"/>
  <c r="U169" i="12" s="1"/>
  <c r="G92" i="12"/>
  <c r="C148" i="12" s="1"/>
  <c r="B92" i="12"/>
  <c r="B148" i="12" s="1"/>
  <c r="L91" i="12"/>
  <c r="D147" i="12" s="1"/>
  <c r="U168" i="12" s="1"/>
  <c r="G91" i="12"/>
  <c r="C147" i="12" s="1"/>
  <c r="B91" i="12"/>
  <c r="B147" i="12" s="1"/>
  <c r="S168" i="12" s="1"/>
  <c r="L90" i="12"/>
  <c r="D146" i="12" s="1"/>
  <c r="G90" i="12"/>
  <c r="C146" i="12" s="1"/>
  <c r="B90" i="12"/>
  <c r="B146" i="12" s="1"/>
  <c r="E27" i="12"/>
  <c r="D27" i="12"/>
  <c r="C27" i="12"/>
  <c r="K176" i="4"/>
  <c r="M172" i="4"/>
  <c r="G181" i="4"/>
  <c r="K175" i="4"/>
  <c r="E174" i="4"/>
  <c r="K173" i="4"/>
  <c r="J152" i="4"/>
  <c r="C151" i="4"/>
  <c r="G103" i="4"/>
  <c r="K119" i="4"/>
  <c r="G157" i="4"/>
  <c r="H153" i="4"/>
  <c r="AA168" i="4"/>
  <c r="AA167" i="4"/>
  <c r="K182" i="4"/>
  <c r="J182" i="4"/>
  <c r="I182" i="4"/>
  <c r="H182" i="4"/>
  <c r="G182" i="4"/>
  <c r="F182" i="4"/>
  <c r="E182" i="4"/>
  <c r="D182" i="4"/>
  <c r="C182" i="4"/>
  <c r="B182" i="4"/>
  <c r="K180" i="4"/>
  <c r="J180" i="4"/>
  <c r="I180" i="4"/>
  <c r="H180" i="4"/>
  <c r="G180" i="4"/>
  <c r="F180" i="4"/>
  <c r="E180" i="4"/>
  <c r="D180" i="4"/>
  <c r="C180" i="4"/>
  <c r="B180" i="4"/>
  <c r="K179" i="4"/>
  <c r="J179" i="4"/>
  <c r="I179" i="4"/>
  <c r="H179" i="4"/>
  <c r="G179" i="4"/>
  <c r="F179" i="4"/>
  <c r="E179" i="4"/>
  <c r="D179" i="4"/>
  <c r="C179" i="4"/>
  <c r="B179" i="4"/>
  <c r="K177" i="4"/>
  <c r="J177" i="4"/>
  <c r="I177" i="4"/>
  <c r="H177" i="4"/>
  <c r="G177" i="4"/>
  <c r="F177" i="4"/>
  <c r="E177" i="4"/>
  <c r="D177" i="4"/>
  <c r="C177" i="4"/>
  <c r="B177" i="4"/>
  <c r="G176" i="4"/>
  <c r="J176" i="4"/>
  <c r="I176" i="4"/>
  <c r="H176" i="4"/>
  <c r="F176" i="4"/>
  <c r="E176" i="4"/>
  <c r="D176" i="4"/>
  <c r="C176" i="4"/>
  <c r="B176" i="4"/>
  <c r="J175" i="4"/>
  <c r="I175" i="4"/>
  <c r="H175" i="4"/>
  <c r="G175" i="4"/>
  <c r="F175" i="4"/>
  <c r="E175" i="4"/>
  <c r="D175" i="4"/>
  <c r="C175" i="4"/>
  <c r="B175" i="4"/>
  <c r="J173" i="4"/>
  <c r="I173" i="4"/>
  <c r="H173" i="4"/>
  <c r="G173" i="4"/>
  <c r="F173" i="4"/>
  <c r="E173" i="4"/>
  <c r="D173" i="4"/>
  <c r="C173" i="4"/>
  <c r="B173" i="4"/>
  <c r="K172" i="4"/>
  <c r="J172" i="4"/>
  <c r="I172" i="4"/>
  <c r="H172" i="4"/>
  <c r="G172" i="4"/>
  <c r="F172" i="4"/>
  <c r="E172" i="4"/>
  <c r="D172" i="4"/>
  <c r="C172" i="4"/>
  <c r="B172" i="4"/>
  <c r="K171" i="4"/>
  <c r="J171" i="4"/>
  <c r="I171" i="4"/>
  <c r="H171" i="4"/>
  <c r="G171" i="4"/>
  <c r="F171" i="4"/>
  <c r="E171" i="4"/>
  <c r="D171" i="4"/>
  <c r="K170" i="4"/>
  <c r="C171" i="4"/>
  <c r="B171" i="4"/>
  <c r="J170" i="4"/>
  <c r="I170" i="4"/>
  <c r="H170" i="4"/>
  <c r="G170" i="4"/>
  <c r="F170" i="4"/>
  <c r="E170" i="4"/>
  <c r="D170" i="4"/>
  <c r="C170" i="4"/>
  <c r="B170" i="4"/>
  <c r="K168" i="4"/>
  <c r="J168" i="4"/>
  <c r="I168" i="4"/>
  <c r="H168" i="4"/>
  <c r="G168" i="4"/>
  <c r="K169" i="4"/>
  <c r="K181" i="4"/>
  <c r="K174" i="4"/>
  <c r="J181" i="4"/>
  <c r="I181" i="4"/>
  <c r="H181" i="4"/>
  <c r="F181" i="4"/>
  <c r="E181" i="4"/>
  <c r="D181" i="4"/>
  <c r="C181" i="4"/>
  <c r="B181" i="4"/>
  <c r="J169" i="4"/>
  <c r="I169" i="4"/>
  <c r="H169" i="4"/>
  <c r="G169" i="4"/>
  <c r="F169" i="4"/>
  <c r="E169" i="4"/>
  <c r="D169" i="4"/>
  <c r="C169" i="4"/>
  <c r="B169" i="4"/>
  <c r="J178" i="4"/>
  <c r="I178" i="4"/>
  <c r="H178" i="4"/>
  <c r="G178" i="4"/>
  <c r="F178" i="4"/>
  <c r="E178" i="4"/>
  <c r="D178" i="4"/>
  <c r="C178" i="4"/>
  <c r="B178" i="4"/>
  <c r="J174" i="4"/>
  <c r="I174" i="4"/>
  <c r="H174" i="4"/>
  <c r="G174" i="4"/>
  <c r="F174" i="4"/>
  <c r="D174" i="4"/>
  <c r="C174" i="4"/>
  <c r="B174" i="4"/>
  <c r="F168" i="4"/>
  <c r="E168" i="4"/>
  <c r="D168" i="4"/>
  <c r="C168" i="4"/>
  <c r="B168" i="4"/>
  <c r="K167" i="4"/>
  <c r="J167" i="4"/>
  <c r="I167" i="4"/>
  <c r="H167" i="4"/>
  <c r="G167" i="4"/>
  <c r="F167" i="4"/>
  <c r="E167" i="4"/>
  <c r="D167" i="4"/>
  <c r="C167" i="4"/>
  <c r="B167" i="4"/>
  <c r="E27" i="4"/>
  <c r="K133" i="4"/>
  <c r="G133" i="4"/>
  <c r="B133" i="4"/>
  <c r="K115" i="4"/>
  <c r="G115" i="4"/>
  <c r="F153" i="4" s="1"/>
  <c r="U187" i="4" s="1"/>
  <c r="B115" i="4"/>
  <c r="K97" i="4"/>
  <c r="G97" i="4"/>
  <c r="C153" i="4" s="1"/>
  <c r="B97" i="4"/>
  <c r="B153" i="4" s="1"/>
  <c r="Y187" i="4"/>
  <c r="X187" i="4"/>
  <c r="Y185" i="4"/>
  <c r="X185" i="4"/>
  <c r="T185" i="4"/>
  <c r="Y174" i="4"/>
  <c r="X174" i="4"/>
  <c r="U174" i="4"/>
  <c r="T174" i="4"/>
  <c r="J153" i="4"/>
  <c r="I153" i="4"/>
  <c r="H157" i="4"/>
  <c r="W189" i="4" s="1"/>
  <c r="G153" i="4"/>
  <c r="V187" i="4" s="1"/>
  <c r="G160" i="4"/>
  <c r="V181" i="4" s="1"/>
  <c r="G161" i="4"/>
  <c r="V182" i="4" s="1"/>
  <c r="E153" i="4"/>
  <c r="T187" i="4" s="1"/>
  <c r="D153" i="4"/>
  <c r="K123" i="4"/>
  <c r="K122" i="4"/>
  <c r="K121" i="4"/>
  <c r="G159" i="4" s="1"/>
  <c r="V180" i="4" s="1"/>
  <c r="K120" i="4"/>
  <c r="G158" i="4" s="1"/>
  <c r="V179" i="4" s="1"/>
  <c r="V189" i="4"/>
  <c r="K118" i="4"/>
  <c r="G156" i="4" s="1"/>
  <c r="V177" i="4" s="1"/>
  <c r="B141" i="4"/>
  <c r="H161" i="4" s="1"/>
  <c r="W182" i="4" s="1"/>
  <c r="B140" i="4"/>
  <c r="H160" i="4" s="1"/>
  <c r="W181" i="4" s="1"/>
  <c r="B139" i="4"/>
  <c r="H159" i="4" s="1"/>
  <c r="W180" i="4" s="1"/>
  <c r="B138" i="4"/>
  <c r="H158" i="4" s="1"/>
  <c r="W179" i="4" s="1"/>
  <c r="B137" i="4"/>
  <c r="B136" i="4"/>
  <c r="H156" i="4" s="1"/>
  <c r="B179" i="12" l="1"/>
  <c r="S179" i="12"/>
  <c r="K169" i="12"/>
  <c r="AA182" i="12"/>
  <c r="K178" i="12"/>
  <c r="Y170" i="12"/>
  <c r="H171" i="12"/>
  <c r="AA171" i="12"/>
  <c r="I171" i="12"/>
  <c r="H174" i="12"/>
  <c r="Z175" i="12"/>
  <c r="J151" i="12"/>
  <c r="AA172" i="12" s="1"/>
  <c r="AA176" i="12"/>
  <c r="K181" i="12"/>
  <c r="AA181" i="12"/>
  <c r="G169" i="12"/>
  <c r="X169" i="12"/>
  <c r="T179" i="12"/>
  <c r="V179" i="12"/>
  <c r="S173" i="12"/>
  <c r="W179" i="12"/>
  <c r="T173" i="12"/>
  <c r="U173" i="12"/>
  <c r="Y182" i="12"/>
  <c r="I175" i="12"/>
  <c r="Y185" i="12"/>
  <c r="F170" i="12"/>
  <c r="W175" i="12"/>
  <c r="Y175" i="12"/>
  <c r="F181" i="12"/>
  <c r="W181" i="12"/>
  <c r="I170" i="12"/>
  <c r="Z170" i="12"/>
  <c r="K177" i="12"/>
  <c r="AA177" i="12"/>
  <c r="G181" i="12"/>
  <c r="X181" i="12"/>
  <c r="S189" i="12"/>
  <c r="B178" i="12"/>
  <c r="S178" i="12"/>
  <c r="V185" i="12"/>
  <c r="V174" i="12"/>
  <c r="V187" i="12"/>
  <c r="E174" i="12"/>
  <c r="S171" i="12"/>
  <c r="B171" i="12"/>
  <c r="C171" i="12"/>
  <c r="T171" i="12"/>
  <c r="F167" i="12"/>
  <c r="W167" i="12"/>
  <c r="D180" i="12"/>
  <c r="U180" i="12"/>
  <c r="I177" i="12"/>
  <c r="Z177" i="12"/>
  <c r="I176" i="12"/>
  <c r="V178" i="12"/>
  <c r="W173" i="12"/>
  <c r="X168" i="12"/>
  <c r="D181" i="12"/>
  <c r="E178" i="12"/>
  <c r="Y181" i="12"/>
  <c r="X173" i="12"/>
  <c r="S177" i="12"/>
  <c r="D169" i="12"/>
  <c r="F169" i="12"/>
  <c r="W174" i="12"/>
  <c r="Z181" i="12"/>
  <c r="K176" i="12"/>
  <c r="K170" i="12"/>
  <c r="AA170" i="12"/>
  <c r="E176" i="12"/>
  <c r="V176" i="12"/>
  <c r="H172" i="12"/>
  <c r="Y172" i="12"/>
  <c r="C168" i="12"/>
  <c r="L168" i="12" s="1"/>
  <c r="T168" i="12"/>
  <c r="T180" i="12"/>
  <c r="C180" i="12"/>
  <c r="F172" i="12"/>
  <c r="W172" i="12"/>
  <c r="I180" i="12"/>
  <c r="Z180" i="12"/>
  <c r="E180" i="12"/>
  <c r="V180" i="12"/>
  <c r="H168" i="12"/>
  <c r="Y168" i="12"/>
  <c r="H180" i="12"/>
  <c r="Y180" i="12"/>
  <c r="T176" i="12"/>
  <c r="C176" i="12"/>
  <c r="F168" i="12"/>
  <c r="W168" i="12"/>
  <c r="I168" i="12"/>
  <c r="Z168" i="12"/>
  <c r="C182" i="12"/>
  <c r="T182" i="12"/>
  <c r="V171" i="12"/>
  <c r="E171" i="12"/>
  <c r="E172" i="12"/>
  <c r="E175" i="12"/>
  <c r="V175" i="12"/>
  <c r="C167" i="12"/>
  <c r="L167" i="12" s="1"/>
  <c r="T167" i="12"/>
  <c r="V168" i="12"/>
  <c r="E168" i="12"/>
  <c r="I172" i="12"/>
  <c r="Z172" i="12"/>
  <c r="S167" i="12"/>
  <c r="B167" i="12"/>
  <c r="D167" i="12"/>
  <c r="U167" i="12"/>
  <c r="D171" i="12"/>
  <c r="U171" i="12"/>
  <c r="U175" i="12"/>
  <c r="D175" i="12"/>
  <c r="D179" i="12"/>
  <c r="U179" i="12"/>
  <c r="G171" i="12"/>
  <c r="X171" i="12"/>
  <c r="G179" i="12"/>
  <c r="X179" i="12"/>
  <c r="K175" i="12"/>
  <c r="K174" i="12"/>
  <c r="K173" i="12"/>
  <c r="AA173" i="12"/>
  <c r="D176" i="12"/>
  <c r="U176" i="12"/>
  <c r="B176" i="12"/>
  <c r="S176" i="12"/>
  <c r="Z182" i="12"/>
  <c r="I178" i="12"/>
  <c r="Z178" i="12"/>
  <c r="Z189" i="12"/>
  <c r="W180" i="12"/>
  <c r="Z169" i="12"/>
  <c r="X180" i="12"/>
  <c r="B169" i="12"/>
  <c r="S169" i="12"/>
  <c r="B181" i="12"/>
  <c r="S181" i="12"/>
  <c r="T170" i="12"/>
  <c r="C170" i="12"/>
  <c r="D168" i="12"/>
  <c r="X175" i="12"/>
  <c r="T177" i="12"/>
  <c r="C177" i="12"/>
  <c r="AA174" i="12"/>
  <c r="AA187" i="12"/>
  <c r="E167" i="12"/>
  <c r="B175" i="12"/>
  <c r="S175" i="12"/>
  <c r="E181" i="12"/>
  <c r="C175" i="12"/>
  <c r="T175" i="12"/>
  <c r="B172" i="12"/>
  <c r="Y174" i="12"/>
  <c r="AA185" i="12"/>
  <c r="F178" i="12"/>
  <c r="W178" i="12"/>
  <c r="W189" i="12"/>
  <c r="C178" i="12"/>
  <c r="D170" i="12"/>
  <c r="U170" i="12"/>
  <c r="U187" i="12"/>
  <c r="U185" i="12"/>
  <c r="D178" i="12"/>
  <c r="U189" i="12"/>
  <c r="D182" i="12"/>
  <c r="U182" i="12"/>
  <c r="X185" i="12"/>
  <c r="W185" i="12"/>
  <c r="X187" i="12"/>
  <c r="X178" i="12"/>
  <c r="G178" i="12"/>
  <c r="X189" i="12"/>
  <c r="B182" i="12"/>
  <c r="L182" i="12" s="1"/>
  <c r="S182" i="12"/>
  <c r="D172" i="12"/>
  <c r="D174" i="12"/>
  <c r="H177" i="12"/>
  <c r="K182" i="12"/>
  <c r="S174" i="12"/>
  <c r="S185" i="12"/>
  <c r="X167" i="12"/>
  <c r="Y169" i="12"/>
  <c r="K180" i="12"/>
  <c r="AA180" i="12"/>
  <c r="B170" i="12"/>
  <c r="L170" i="12" s="1"/>
  <c r="S170" i="12"/>
  <c r="X176" i="12"/>
  <c r="Z187" i="12"/>
  <c r="Z174" i="12"/>
  <c r="V173" i="12"/>
  <c r="C169" i="12"/>
  <c r="T169" i="12"/>
  <c r="C181" i="12"/>
  <c r="T181" i="12"/>
  <c r="X172" i="12"/>
  <c r="G172" i="12"/>
  <c r="E169" i="12"/>
  <c r="B180" i="12"/>
  <c r="L180" i="12" s="1"/>
  <c r="F177" i="12"/>
  <c r="W177" i="12"/>
  <c r="Z185" i="12"/>
  <c r="B174" i="12"/>
  <c r="L174" i="12" s="1"/>
  <c r="K171" i="12"/>
  <c r="T187" i="12"/>
  <c r="K167" i="12"/>
  <c r="AA167" i="12"/>
  <c r="K179" i="12"/>
  <c r="AA179" i="12"/>
  <c r="F171" i="12"/>
  <c r="W171" i="12"/>
  <c r="G174" i="12"/>
  <c r="B168" i="12"/>
  <c r="T172" i="12"/>
  <c r="T174" i="12"/>
  <c r="T178" i="12"/>
  <c r="K168" i="12"/>
  <c r="AA168" i="12"/>
  <c r="AA178" i="12"/>
  <c r="AA189" i="12"/>
  <c r="V177" i="12"/>
  <c r="E177" i="12"/>
  <c r="AA169" i="12"/>
  <c r="D177" i="12"/>
  <c r="U177" i="12"/>
  <c r="H178" i="12"/>
  <c r="Y178" i="12"/>
  <c r="Y189" i="12"/>
  <c r="G177" i="12"/>
  <c r="X177" i="12"/>
  <c r="AA175" i="12"/>
  <c r="C174" i="12"/>
  <c r="H167" i="12"/>
  <c r="Y167" i="12"/>
  <c r="H179" i="12"/>
  <c r="Y179" i="12"/>
  <c r="H173" i="12"/>
  <c r="Y173" i="12"/>
  <c r="Z167" i="12"/>
  <c r="I167" i="12"/>
  <c r="Z179" i="12"/>
  <c r="Z173" i="12"/>
  <c r="I173" i="12"/>
  <c r="F174" i="12"/>
  <c r="H176" i="12"/>
  <c r="V170" i="12"/>
  <c r="V182" i="12"/>
  <c r="M171" i="4"/>
  <c r="M169" i="4"/>
  <c r="M168" i="4"/>
  <c r="M181" i="4"/>
  <c r="M179" i="4"/>
  <c r="M178" i="4"/>
  <c r="M176" i="4"/>
  <c r="M170" i="4"/>
  <c r="M167" i="4"/>
  <c r="M182" i="4"/>
  <c r="M180" i="4"/>
  <c r="M175" i="4"/>
  <c r="M174" i="4"/>
  <c r="M173" i="4"/>
  <c r="M177" i="4"/>
  <c r="Q187" i="4"/>
  <c r="Q185" i="4"/>
  <c r="Q174" i="4"/>
  <c r="R187" i="4"/>
  <c r="R185" i="4"/>
  <c r="R174" i="4"/>
  <c r="V178" i="4"/>
  <c r="U185" i="4"/>
  <c r="W178" i="4"/>
  <c r="V185" i="4"/>
  <c r="V174" i="4"/>
  <c r="S185" i="4"/>
  <c r="Z185" i="4" s="1"/>
  <c r="S174" i="4"/>
  <c r="S187" i="4"/>
  <c r="W185" i="4"/>
  <c r="W174" i="4"/>
  <c r="W187" i="4"/>
  <c r="W177" i="4"/>
  <c r="L169" i="12" l="1"/>
  <c r="L178" i="12"/>
  <c r="L177" i="12"/>
  <c r="L176" i="12"/>
  <c r="L181" i="12"/>
  <c r="L175" i="12"/>
  <c r="L173" i="12"/>
  <c r="L172" i="12"/>
  <c r="L171" i="12"/>
  <c r="L179" i="12"/>
  <c r="K172" i="12"/>
  <c r="AB187" i="12"/>
  <c r="AB172" i="12"/>
  <c r="AB189" i="12"/>
  <c r="AB181" i="12"/>
  <c r="AB178" i="12"/>
  <c r="AB177" i="12"/>
  <c r="AB171" i="12"/>
  <c r="AB179" i="12"/>
  <c r="AB173" i="12"/>
  <c r="AB180" i="12"/>
  <c r="AB168" i="12"/>
  <c r="AB170" i="12"/>
  <c r="AB176" i="12"/>
  <c r="AB169" i="12"/>
  <c r="AB185" i="12"/>
  <c r="AB167" i="12"/>
  <c r="AB182" i="12"/>
  <c r="AB175" i="12"/>
  <c r="AB174" i="12"/>
  <c r="Z174" i="4"/>
  <c r="Z187" i="4"/>
  <c r="G123" i="4"/>
  <c r="F161" i="4" s="1"/>
  <c r="U182" i="4" s="1"/>
  <c r="G122" i="4"/>
  <c r="F160" i="4" s="1"/>
  <c r="U181" i="4" s="1"/>
  <c r="G121" i="4"/>
  <c r="F159" i="4" s="1"/>
  <c r="U180" i="4" s="1"/>
  <c r="G120" i="4"/>
  <c r="F158" i="4" s="1"/>
  <c r="U179" i="4" s="1"/>
  <c r="G119" i="4"/>
  <c r="F157" i="4" s="1"/>
  <c r="G118" i="4"/>
  <c r="F156" i="4" s="1"/>
  <c r="U177" i="4" s="1"/>
  <c r="B123" i="4"/>
  <c r="E161" i="4" s="1"/>
  <c r="T182" i="4" s="1"/>
  <c r="B122" i="4"/>
  <c r="E160" i="4" s="1"/>
  <c r="T181" i="4" s="1"/>
  <c r="B121" i="4"/>
  <c r="E159" i="4" s="1"/>
  <c r="T180" i="4" s="1"/>
  <c r="B120" i="4"/>
  <c r="E158" i="4" s="1"/>
  <c r="T179" i="4" s="1"/>
  <c r="B119" i="4"/>
  <c r="E157" i="4" s="1"/>
  <c r="B118" i="4"/>
  <c r="E156" i="4" s="1"/>
  <c r="T177" i="4" s="1"/>
  <c r="K105" i="4"/>
  <c r="D161" i="4" s="1"/>
  <c r="S182" i="4" s="1"/>
  <c r="K104" i="4"/>
  <c r="D160" i="4" s="1"/>
  <c r="S181" i="4" s="1"/>
  <c r="K103" i="4"/>
  <c r="D159" i="4" s="1"/>
  <c r="S180" i="4" s="1"/>
  <c r="K102" i="4"/>
  <c r="D158" i="4" s="1"/>
  <c r="S179" i="4" s="1"/>
  <c r="K101" i="4"/>
  <c r="D157" i="4" s="1"/>
  <c r="K100" i="4"/>
  <c r="D156" i="4" s="1"/>
  <c r="S177" i="4" s="1"/>
  <c r="G105" i="4"/>
  <c r="C161" i="4" s="1"/>
  <c r="R182" i="4" s="1"/>
  <c r="G104" i="4"/>
  <c r="C160" i="4" s="1"/>
  <c r="R181" i="4" s="1"/>
  <c r="Z181" i="4" s="1"/>
  <c r="C159" i="4"/>
  <c r="R180" i="4" s="1"/>
  <c r="G102" i="4"/>
  <c r="C158" i="4" s="1"/>
  <c r="R179" i="4" s="1"/>
  <c r="G101" i="4"/>
  <c r="C157" i="4" s="1"/>
  <c r="G100" i="4"/>
  <c r="C156" i="4" s="1"/>
  <c r="R177" i="4" s="1"/>
  <c r="B105" i="4"/>
  <c r="B161" i="4" s="1"/>
  <c r="Q182" i="4" s="1"/>
  <c r="B104" i="4"/>
  <c r="B160" i="4" s="1"/>
  <c r="Q181" i="4" s="1"/>
  <c r="B103" i="4"/>
  <c r="B159" i="4" s="1"/>
  <c r="Q180" i="4" s="1"/>
  <c r="B102" i="4"/>
  <c r="B158" i="4" s="1"/>
  <c r="Q179" i="4" s="1"/>
  <c r="B101" i="4"/>
  <c r="B157" i="4" s="1"/>
  <c r="B100" i="4"/>
  <c r="B156" i="4" s="1"/>
  <c r="Q177" i="4" s="1"/>
  <c r="K141" i="4"/>
  <c r="J161" i="4" s="1"/>
  <c r="Y182" i="4" s="1"/>
  <c r="K140" i="4"/>
  <c r="J160" i="4" s="1"/>
  <c r="Y181" i="4" s="1"/>
  <c r="K139" i="4"/>
  <c r="J159" i="4" s="1"/>
  <c r="Y180" i="4" s="1"/>
  <c r="K138" i="4"/>
  <c r="J158" i="4" s="1"/>
  <c r="Y179" i="4" s="1"/>
  <c r="K137" i="4"/>
  <c r="J157" i="4" s="1"/>
  <c r="K136" i="4"/>
  <c r="J156" i="4" s="1"/>
  <c r="Y177" i="4" s="1"/>
  <c r="K135" i="4"/>
  <c r="J155" i="4" s="1"/>
  <c r="Y176" i="4" s="1"/>
  <c r="K134" i="4"/>
  <c r="J154" i="4" s="1"/>
  <c r="Y175" i="4" s="1"/>
  <c r="K132" i="4"/>
  <c r="Y173" i="4" s="1"/>
  <c r="K131" i="4"/>
  <c r="J151" i="4" s="1"/>
  <c r="Y172" i="4" s="1"/>
  <c r="K130" i="4"/>
  <c r="J150" i="4" s="1"/>
  <c r="Y171" i="4" s="1"/>
  <c r="K129" i="4"/>
  <c r="J149" i="4" s="1"/>
  <c r="Y170" i="4" s="1"/>
  <c r="K128" i="4"/>
  <c r="J148" i="4" s="1"/>
  <c r="Y169" i="4" s="1"/>
  <c r="K127" i="4"/>
  <c r="J147" i="4" s="1"/>
  <c r="Y168" i="4" s="1"/>
  <c r="K126" i="4"/>
  <c r="J146" i="4" s="1"/>
  <c r="Y167" i="4" s="1"/>
  <c r="G141" i="4"/>
  <c r="I161" i="4" s="1"/>
  <c r="X182" i="4" s="1"/>
  <c r="G140" i="4"/>
  <c r="I160" i="4" s="1"/>
  <c r="X181" i="4" s="1"/>
  <c r="G139" i="4"/>
  <c r="I159" i="4" s="1"/>
  <c r="X180" i="4" s="1"/>
  <c r="G138" i="4"/>
  <c r="I158" i="4" s="1"/>
  <c r="X179" i="4" s="1"/>
  <c r="G137" i="4"/>
  <c r="I157" i="4" s="1"/>
  <c r="G136" i="4"/>
  <c r="I156" i="4" s="1"/>
  <c r="X177" i="4" s="1"/>
  <c r="G135" i="4"/>
  <c r="I155" i="4" s="1"/>
  <c r="X176" i="4" s="1"/>
  <c r="G134" i="4"/>
  <c r="I154" i="4" s="1"/>
  <c r="X175" i="4" s="1"/>
  <c r="G132" i="4"/>
  <c r="I152" i="4" s="1"/>
  <c r="X173" i="4" s="1"/>
  <c r="G131" i="4"/>
  <c r="I151" i="4" s="1"/>
  <c r="X172" i="4" s="1"/>
  <c r="G130" i="4"/>
  <c r="I150" i="4" s="1"/>
  <c r="X171" i="4" s="1"/>
  <c r="G129" i="4"/>
  <c r="I149" i="4" s="1"/>
  <c r="X170" i="4" s="1"/>
  <c r="G128" i="4"/>
  <c r="I148" i="4" s="1"/>
  <c r="X169" i="4" s="1"/>
  <c r="G127" i="4"/>
  <c r="I147" i="4" s="1"/>
  <c r="X168" i="4" s="1"/>
  <c r="G126" i="4"/>
  <c r="I146" i="4" s="1"/>
  <c r="X167" i="4" s="1"/>
  <c r="B128" i="4"/>
  <c r="H148" i="4" s="1"/>
  <c r="W169" i="4" s="1"/>
  <c r="B126" i="4"/>
  <c r="H146" i="4" s="1"/>
  <c r="W167" i="4" s="1"/>
  <c r="B108" i="4"/>
  <c r="E146" i="4" s="1"/>
  <c r="T167" i="4" s="1"/>
  <c r="G98" i="4"/>
  <c r="C154" i="4" s="1"/>
  <c r="R175" i="4" s="1"/>
  <c r="B134" i="4"/>
  <c r="H154" i="4" s="1"/>
  <c r="W175" i="4" s="1"/>
  <c r="B109" i="4"/>
  <c r="E147" i="4" s="1"/>
  <c r="T168" i="4" s="1"/>
  <c r="B110" i="4"/>
  <c r="E148" i="4" s="1"/>
  <c r="T169" i="4" s="1"/>
  <c r="B111" i="4"/>
  <c r="E149" i="4" s="1"/>
  <c r="T170" i="4" s="1"/>
  <c r="B112" i="4"/>
  <c r="E150" i="4" s="1"/>
  <c r="T171" i="4" s="1"/>
  <c r="B113" i="4"/>
  <c r="E151" i="4" s="1"/>
  <c r="T172" i="4" s="1"/>
  <c r="B114" i="4"/>
  <c r="E152" i="4" s="1"/>
  <c r="T173" i="4" s="1"/>
  <c r="B116" i="4"/>
  <c r="E154" i="4" s="1"/>
  <c r="T175" i="4" s="1"/>
  <c r="B117" i="4"/>
  <c r="E155" i="4" s="1"/>
  <c r="T176" i="4" s="1"/>
  <c r="G99" i="4"/>
  <c r="C155" i="4" s="1"/>
  <c r="R176" i="4" s="1"/>
  <c r="K98" i="4"/>
  <c r="D154" i="4" s="1"/>
  <c r="S175" i="4" s="1"/>
  <c r="B98" i="4"/>
  <c r="B154" i="4" s="1"/>
  <c r="Q175" i="4" s="1"/>
  <c r="K114" i="4"/>
  <c r="G152" i="4" s="1"/>
  <c r="V173" i="4" s="1"/>
  <c r="B96" i="4"/>
  <c r="B152" i="4" s="1"/>
  <c r="Q173" i="4" s="1"/>
  <c r="B131" i="4"/>
  <c r="H151" i="4" s="1"/>
  <c r="W172" i="4" s="1"/>
  <c r="G95" i="4"/>
  <c r="R172" i="4" s="1"/>
  <c r="B95" i="4"/>
  <c r="B151" i="4" s="1"/>
  <c r="Q172" i="4" s="1"/>
  <c r="B130" i="4"/>
  <c r="H150" i="4" s="1"/>
  <c r="W171" i="4" s="1"/>
  <c r="K94" i="4"/>
  <c r="D150" i="4" s="1"/>
  <c r="S171" i="4" s="1"/>
  <c r="G94" i="4"/>
  <c r="C150" i="4" s="1"/>
  <c r="R171" i="4" s="1"/>
  <c r="B94" i="4"/>
  <c r="B150" i="4" s="1"/>
  <c r="Q171" i="4" s="1"/>
  <c r="B129" i="4"/>
  <c r="H149" i="4" s="1"/>
  <c r="W170" i="4" s="1"/>
  <c r="K111" i="4"/>
  <c r="G149" i="4" s="1"/>
  <c r="V170" i="4" s="1"/>
  <c r="K93" i="4"/>
  <c r="D149" i="4" s="1"/>
  <c r="S170" i="4" s="1"/>
  <c r="G93" i="4"/>
  <c r="C149" i="4" s="1"/>
  <c r="R170" i="4" s="1"/>
  <c r="B93" i="4"/>
  <c r="B149" i="4" s="1"/>
  <c r="Q170" i="4" s="1"/>
  <c r="K110" i="4"/>
  <c r="G148" i="4" s="1"/>
  <c r="V169" i="4" s="1"/>
  <c r="G111" i="4"/>
  <c r="F149" i="4" s="1"/>
  <c r="U170" i="4" s="1"/>
  <c r="K92" i="4"/>
  <c r="D148" i="4" s="1"/>
  <c r="S169" i="4" s="1"/>
  <c r="B92" i="4"/>
  <c r="B148" i="4" s="1"/>
  <c r="Q169" i="4" s="1"/>
  <c r="K109" i="4"/>
  <c r="G147" i="4" s="1"/>
  <c r="V168" i="4" s="1"/>
  <c r="K108" i="4"/>
  <c r="G146" i="4" s="1"/>
  <c r="V167" i="4" s="1"/>
  <c r="G91" i="4"/>
  <c r="C147" i="4" s="1"/>
  <c r="R168" i="4" s="1"/>
  <c r="B91" i="4"/>
  <c r="B147" i="4" s="1"/>
  <c r="Q168" i="4" s="1"/>
  <c r="D27" i="4"/>
  <c r="B127" i="4"/>
  <c r="H147" i="4" s="1"/>
  <c r="W168" i="4" s="1"/>
  <c r="B132" i="4"/>
  <c r="H152" i="4" s="1"/>
  <c r="W173" i="4" s="1"/>
  <c r="B135" i="4"/>
  <c r="H155" i="4" s="1"/>
  <c r="W176" i="4" s="1"/>
  <c r="K112" i="4"/>
  <c r="G150" i="4" s="1"/>
  <c r="V171" i="4" s="1"/>
  <c r="K113" i="4"/>
  <c r="G151" i="4" s="1"/>
  <c r="V172" i="4" s="1"/>
  <c r="K116" i="4"/>
  <c r="G154" i="4" s="1"/>
  <c r="V175" i="4" s="1"/>
  <c r="K117" i="4"/>
  <c r="G155" i="4" s="1"/>
  <c r="V176" i="4" s="1"/>
  <c r="G109" i="4"/>
  <c r="F147" i="4" s="1"/>
  <c r="U168" i="4" s="1"/>
  <c r="G110" i="4"/>
  <c r="F148" i="4" s="1"/>
  <c r="U169" i="4" s="1"/>
  <c r="G112" i="4"/>
  <c r="F150" i="4" s="1"/>
  <c r="U171" i="4" s="1"/>
  <c r="G113" i="4"/>
  <c r="F151" i="4" s="1"/>
  <c r="U172" i="4" s="1"/>
  <c r="G114" i="4"/>
  <c r="F152" i="4" s="1"/>
  <c r="U173" i="4" s="1"/>
  <c r="G116" i="4"/>
  <c r="F154" i="4" s="1"/>
  <c r="U175" i="4" s="1"/>
  <c r="G117" i="4"/>
  <c r="F155" i="4" s="1"/>
  <c r="U176" i="4" s="1"/>
  <c r="G108" i="4"/>
  <c r="F146" i="4" s="1"/>
  <c r="U167" i="4" s="1"/>
  <c r="K91" i="4"/>
  <c r="D147" i="4" s="1"/>
  <c r="S168" i="4" s="1"/>
  <c r="K95" i="4"/>
  <c r="D151" i="4" s="1"/>
  <c r="S172" i="4" s="1"/>
  <c r="K96" i="4"/>
  <c r="D152" i="4" s="1"/>
  <c r="S173" i="4" s="1"/>
  <c r="K99" i="4"/>
  <c r="D155" i="4" s="1"/>
  <c r="S176" i="4" s="1"/>
  <c r="K90" i="4"/>
  <c r="D146" i="4" s="1"/>
  <c r="S167" i="4" s="1"/>
  <c r="G92" i="4"/>
  <c r="C148" i="4" s="1"/>
  <c r="R169" i="4" s="1"/>
  <c r="G96" i="4"/>
  <c r="C152" i="4" s="1"/>
  <c r="R173" i="4" s="1"/>
  <c r="G90" i="4"/>
  <c r="C146" i="4" s="1"/>
  <c r="R167" i="4" s="1"/>
  <c r="B99" i="4"/>
  <c r="B155" i="4" s="1"/>
  <c r="Q176" i="4" s="1"/>
  <c r="B90" i="4"/>
  <c r="B146" i="4" s="1"/>
  <c r="Q167" i="4" s="1"/>
  <c r="C27" i="4"/>
  <c r="F27" i="8"/>
  <c r="J42" i="8"/>
  <c r="J41" i="8"/>
  <c r="J40" i="8"/>
  <c r="J39" i="8"/>
  <c r="J38" i="8"/>
  <c r="J37" i="8"/>
  <c r="J36" i="8"/>
  <c r="J35" i="8"/>
  <c r="J34" i="8"/>
  <c r="J33" i="8"/>
  <c r="I42" i="8"/>
  <c r="I41" i="8"/>
  <c r="I40" i="8"/>
  <c r="I39" i="8"/>
  <c r="I38" i="8"/>
  <c r="I37" i="8"/>
  <c r="I36" i="8"/>
  <c r="I35" i="8"/>
  <c r="I34" i="8"/>
  <c r="I33" i="8"/>
  <c r="H42" i="8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B83" i="8"/>
  <c r="B109" i="8" s="1"/>
  <c r="B119" i="8" s="1"/>
  <c r="B98" i="8"/>
  <c r="L108" i="8" s="1"/>
  <c r="L118" i="8" s="1"/>
  <c r="J90" i="8"/>
  <c r="J108" i="8" s="1"/>
  <c r="J118" i="8" s="1"/>
  <c r="B90" i="8"/>
  <c r="I108" i="8" s="1"/>
  <c r="I118" i="8" s="1"/>
  <c r="B82" i="8"/>
  <c r="B108" i="8" s="1"/>
  <c r="B118" i="8" s="1"/>
  <c r="O97" i="8"/>
  <c r="N107" i="8" s="1"/>
  <c r="N117" i="8" s="1"/>
  <c r="B97" i="8"/>
  <c r="L107" i="8" s="1"/>
  <c r="L117" i="8" s="1"/>
  <c r="J89" i="8"/>
  <c r="J107" i="8" s="1"/>
  <c r="J117" i="8" s="1"/>
  <c r="B89" i="8"/>
  <c r="I107" i="8" s="1"/>
  <c r="I117" i="8" s="1"/>
  <c r="O81" i="8"/>
  <c r="F107" i="8" s="1"/>
  <c r="F117" i="8" s="1"/>
  <c r="B81" i="8"/>
  <c r="B107" i="8" s="1"/>
  <c r="B117" i="8" s="1"/>
  <c r="B88" i="8"/>
  <c r="I106" i="8"/>
  <c r="I116" i="8" s="1"/>
  <c r="B96" i="8"/>
  <c r="L106" i="8" s="1"/>
  <c r="L116" i="8" s="1"/>
  <c r="J88" i="8"/>
  <c r="J106" i="8" s="1"/>
  <c r="J116" i="8" s="1"/>
  <c r="O80" i="8"/>
  <c r="J80" i="8"/>
  <c r="B80" i="8"/>
  <c r="B106" i="8" s="1"/>
  <c r="B116" i="8" s="1"/>
  <c r="O95" i="8"/>
  <c r="N105" i="8" s="1"/>
  <c r="N115" i="8" s="1"/>
  <c r="J95" i="8"/>
  <c r="M105" i="8" s="1"/>
  <c r="M115" i="8" s="1"/>
  <c r="B95" i="8"/>
  <c r="L105" i="8" s="1"/>
  <c r="L115" i="8" s="1"/>
  <c r="J87" i="8"/>
  <c r="J105" i="8" s="1"/>
  <c r="J115" i="8" s="1"/>
  <c r="B87" i="8"/>
  <c r="I105" i="8" s="1"/>
  <c r="I115" i="8" s="1"/>
  <c r="B79" i="8"/>
  <c r="O94" i="8"/>
  <c r="N104" i="8" s="1"/>
  <c r="N114" i="8" s="1"/>
  <c r="J94" i="8"/>
  <c r="M104" i="8" s="1"/>
  <c r="M114" i="8" s="1"/>
  <c r="B94" i="8"/>
  <c r="L104" i="8" s="1"/>
  <c r="L114" i="8" s="1"/>
  <c r="O86" i="8"/>
  <c r="B91" i="8"/>
  <c r="I109" i="8" s="1"/>
  <c r="I119" i="8" s="1"/>
  <c r="J86" i="8"/>
  <c r="J104" i="8" s="1"/>
  <c r="J114" i="8" s="1"/>
  <c r="B86" i="8"/>
  <c r="I104" i="8" s="1"/>
  <c r="I114" i="8" s="1"/>
  <c r="O78" i="8"/>
  <c r="F104" i="8" s="1"/>
  <c r="F114" i="8" s="1"/>
  <c r="J78" i="8"/>
  <c r="C104" i="8" s="1"/>
  <c r="C114" i="8" s="1"/>
  <c r="B78" i="8"/>
  <c r="B104" i="8" s="1"/>
  <c r="B114" i="8" s="1"/>
  <c r="O87" i="8"/>
  <c r="K105" i="8" s="1"/>
  <c r="K115" i="8" s="1"/>
  <c r="O88" i="8"/>
  <c r="K106" i="8" s="1"/>
  <c r="K116" i="8" s="1"/>
  <c r="O89" i="8"/>
  <c r="K107" i="8" s="1"/>
  <c r="K117" i="8" s="1"/>
  <c r="O90" i="8"/>
  <c r="K108" i="8" s="1"/>
  <c r="K118" i="8" s="1"/>
  <c r="O91" i="8"/>
  <c r="K109" i="8" s="1"/>
  <c r="K119" i="8" s="1"/>
  <c r="K104" i="8"/>
  <c r="K114" i="8" s="1"/>
  <c r="O96" i="8"/>
  <c r="N106" i="8" s="1"/>
  <c r="N116" i="8" s="1"/>
  <c r="J96" i="8"/>
  <c r="M106" i="8" s="1"/>
  <c r="M116" i="8" s="1"/>
  <c r="J97" i="8"/>
  <c r="M107" i="8" s="1"/>
  <c r="M117" i="8" s="1"/>
  <c r="J98" i="8"/>
  <c r="M108" i="8" s="1"/>
  <c r="M118" i="8" s="1"/>
  <c r="J99" i="8"/>
  <c r="M109" i="8" s="1"/>
  <c r="M119" i="8" s="1"/>
  <c r="O98" i="8"/>
  <c r="N108" i="8" s="1"/>
  <c r="N118" i="8" s="1"/>
  <c r="O99" i="8"/>
  <c r="N109" i="8" s="1"/>
  <c r="N119" i="8" s="1"/>
  <c r="B99" i="8"/>
  <c r="L109" i="8" s="1"/>
  <c r="L119" i="8" s="1"/>
  <c r="J91" i="8"/>
  <c r="J109" i="8" s="1"/>
  <c r="J119" i="8" s="1"/>
  <c r="O79" i="8"/>
  <c r="F105" i="8" s="1"/>
  <c r="F115" i="8" s="1"/>
  <c r="O82" i="8"/>
  <c r="F108" i="8" s="1"/>
  <c r="F118" i="8" s="1"/>
  <c r="O83" i="8"/>
  <c r="F109" i="8" s="1"/>
  <c r="F119" i="8" s="1"/>
  <c r="J79" i="8"/>
  <c r="C105" i="8" s="1"/>
  <c r="C115" i="8" s="1"/>
  <c r="J81" i="8"/>
  <c r="C107" i="8" s="1"/>
  <c r="C117" i="8" s="1"/>
  <c r="J82" i="8"/>
  <c r="C108" i="8" s="1"/>
  <c r="C118" i="8" s="1"/>
  <c r="J83" i="8"/>
  <c r="C109" i="8" s="1"/>
  <c r="C119" i="8" s="1"/>
  <c r="C27" i="8"/>
  <c r="F106" i="8"/>
  <c r="F116" i="8" s="1"/>
  <c r="C106" i="8"/>
  <c r="C116" i="8" s="1"/>
  <c r="B105" i="8"/>
  <c r="B115" i="8" s="1"/>
  <c r="B12" i="1"/>
  <c r="B8" i="1"/>
  <c r="B3" i="1"/>
  <c r="B11" i="1"/>
  <c r="B10" i="1"/>
  <c r="B9" i="1"/>
  <c r="B7" i="1"/>
  <c r="B6" i="1"/>
  <c r="B5" i="1"/>
  <c r="B4" i="1"/>
  <c r="B2" i="1"/>
  <c r="N25" i="1"/>
  <c r="K25" i="1"/>
  <c r="H25" i="1"/>
  <c r="E25" i="1"/>
  <c r="B25" i="1"/>
  <c r="M179" i="12" l="1"/>
  <c r="AC167" i="12"/>
  <c r="M167" i="12"/>
  <c r="M177" i="12"/>
  <c r="AC169" i="12"/>
  <c r="M169" i="12"/>
  <c r="AC179" i="12"/>
  <c r="M182" i="12"/>
  <c r="AC178" i="12"/>
  <c r="M175" i="12"/>
  <c r="M170" i="12"/>
  <c r="M178" i="12"/>
  <c r="M172" i="12"/>
  <c r="AC168" i="12"/>
  <c r="AC180" i="12"/>
  <c r="M176" i="12"/>
  <c r="AC174" i="12"/>
  <c r="AC176" i="12"/>
  <c r="AC175" i="12"/>
  <c r="AC170" i="12"/>
  <c r="AC173" i="12"/>
  <c r="AC171" i="12"/>
  <c r="AC177" i="12"/>
  <c r="M168" i="12"/>
  <c r="M181" i="12"/>
  <c r="AC181" i="12"/>
  <c r="AC172" i="12"/>
  <c r="M174" i="12"/>
  <c r="AC182" i="12"/>
  <c r="M180" i="12"/>
  <c r="M173" i="12"/>
  <c r="S189" i="4"/>
  <c r="S178" i="4"/>
  <c r="Z176" i="4"/>
  <c r="Z169" i="4"/>
  <c r="Z171" i="4"/>
  <c r="Z172" i="4"/>
  <c r="Z182" i="4"/>
  <c r="Z170" i="4"/>
  <c r="Q178" i="4"/>
  <c r="Q189" i="4"/>
  <c r="U189" i="4"/>
  <c r="U178" i="4"/>
  <c r="Z167" i="4"/>
  <c r="Z175" i="4"/>
  <c r="Z179" i="4"/>
  <c r="Z177" i="4"/>
  <c r="Z180" i="4"/>
  <c r="Z168" i="4"/>
  <c r="X189" i="4"/>
  <c r="X178" i="4"/>
  <c r="Z173" i="4"/>
  <c r="Y178" i="4"/>
  <c r="Y189" i="4"/>
  <c r="R189" i="4"/>
  <c r="R178" i="4"/>
  <c r="T178" i="4"/>
  <c r="T189" i="4"/>
  <c r="E27" i="8"/>
  <c r="D27" i="8"/>
  <c r="O117" i="8"/>
  <c r="O118" i="8"/>
  <c r="O119" i="8"/>
  <c r="Z189" i="4" l="1"/>
  <c r="Z178" i="4"/>
  <c r="AA172" i="4" s="1"/>
  <c r="O114" i="8"/>
  <c r="O115" i="8"/>
  <c r="O116" i="8"/>
  <c r="AA175" i="4" l="1"/>
  <c r="AA180" i="4"/>
  <c r="AA170" i="4"/>
  <c r="AA176" i="4"/>
  <c r="AA177" i="4"/>
  <c r="AA174" i="4"/>
  <c r="AA181" i="4"/>
  <c r="AA178" i="4"/>
  <c r="AA182" i="4"/>
  <c r="AA179" i="4"/>
  <c r="AA173" i="4"/>
  <c r="AA171" i="4"/>
  <c r="AA169" i="4"/>
  <c r="P119" i="8"/>
  <c r="P118" i="8"/>
  <c r="P114" i="8"/>
  <c r="P116" i="8"/>
  <c r="P115" i="8"/>
  <c r="P117" i="8"/>
</calcChain>
</file>

<file path=xl/sharedStrings.xml><?xml version="1.0" encoding="utf-8"?>
<sst xmlns="http://schemas.openxmlformats.org/spreadsheetml/2006/main" count="2356" uniqueCount="510">
  <si>
    <t xml:space="preserve">Biaya </t>
  </si>
  <si>
    <t>Fasilitas</t>
  </si>
  <si>
    <t>Luas Kamar</t>
  </si>
  <si>
    <t>Jarak</t>
  </si>
  <si>
    <t>Keamanan</t>
  </si>
  <si>
    <t>Batas Jam Malam</t>
  </si>
  <si>
    <t>linkungan pendukung</t>
  </si>
  <si>
    <t>Jenis air</t>
  </si>
  <si>
    <t>jenis listrik</t>
  </si>
  <si>
    <t>jalur transaportasi</t>
  </si>
  <si>
    <t>Kruteria</t>
  </si>
  <si>
    <t>Bobot</t>
  </si>
  <si>
    <t>R1 = Abid</t>
  </si>
  <si>
    <t>R2 = Epo</t>
  </si>
  <si>
    <t>R3 = Irwan</t>
  </si>
  <si>
    <t>R4 = Reyhan</t>
  </si>
  <si>
    <t>no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</si>
  <si>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</si>
  <si>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</si>
  <si>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</si>
  <si>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</si>
  <si>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</si>
  <si>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</si>
  <si>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</si>
  <si>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</si>
  <si>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</si>
  <si>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Nilai</t>
  </si>
  <si>
    <t>Biaya</t>
  </si>
  <si>
    <t>Cost</t>
  </si>
  <si>
    <t>Benefit</t>
  </si>
  <si>
    <t xml:space="preserve">Nilai </t>
  </si>
  <si>
    <t>Lingkungan Pendukung</t>
  </si>
  <si>
    <t>Jenis Air</t>
  </si>
  <si>
    <t>Jenis Listrik</t>
  </si>
  <si>
    <t>&lt; 500 m</t>
  </si>
  <si>
    <t>&gt;= 500 m - 1km</t>
  </si>
  <si>
    <t xml:space="preserve">Tidak ada </t>
  </si>
  <si>
    <t>CCTV</t>
  </si>
  <si>
    <t>22,00</t>
  </si>
  <si>
    <t>Kamar mandi</t>
  </si>
  <si>
    <t>Meja</t>
  </si>
  <si>
    <t>Wifi</t>
  </si>
  <si>
    <t>Tempat parkir</t>
  </si>
  <si>
    <t>Lemari</t>
  </si>
  <si>
    <t>No</t>
  </si>
  <si>
    <t>Nama Kost</t>
  </si>
  <si>
    <t>Alamat Kost</t>
  </si>
  <si>
    <t>Jenis Kost</t>
  </si>
  <si>
    <t>Harga</t>
  </si>
  <si>
    <t>Fasiltas</t>
  </si>
  <si>
    <t>Lokasi Pendukung</t>
  </si>
  <si>
    <t xml:space="preserve"> Batas Jam Malam</t>
  </si>
  <si>
    <t>Transportasi</t>
  </si>
  <si>
    <t>Pondok Harmony 1</t>
  </si>
  <si>
    <t>Pondok Harmony 2</t>
  </si>
  <si>
    <t>Pondok Harmony 3</t>
  </si>
  <si>
    <t>KF02</t>
  </si>
  <si>
    <t>Pondok Mama</t>
  </si>
  <si>
    <t>Pondiok Hikmah Jaya 2</t>
  </si>
  <si>
    <t>Olan</t>
  </si>
  <si>
    <t>Jalan Sahabat 3 no 15</t>
  </si>
  <si>
    <t>+6285926084686</t>
  </si>
  <si>
    <t>Rp 800.000</t>
  </si>
  <si>
    <t>Rp 1.200.000</t>
  </si>
  <si>
    <t>Rp 1.500.000</t>
  </si>
  <si>
    <t>3x4</t>
  </si>
  <si>
    <t>4x5</t>
  </si>
  <si>
    <t xml:space="preserve">Spring Bed
Kipas,
Lemari,
Meja,
Wc Dalam,
Dapur Dalam,      AC,                        Wifi         </t>
  </si>
  <si>
    <t>Spring Bed,
Kipas,
Lemari,
Meja,
Wc Dalam,
Dapur Dalam,    wifi</t>
  </si>
  <si>
    <t>Pembayaran Awal dan Sumur Bor</t>
  </si>
  <si>
    <t>Token</t>
  </si>
  <si>
    <t>CCTV sama Penjaga</t>
  </si>
  <si>
    <t>Smart Lock berbasis Kunci Pagar</t>
  </si>
  <si>
    <t xml:space="preserve">CCTV sama penjaga </t>
  </si>
  <si>
    <t>Angkutan Umum, Motor,                   Mobil</t>
  </si>
  <si>
    <t xml:space="preserve">Laundry,                    tempat makan, Masjid                   Fotocopy ATK,           Warung                  </t>
  </si>
  <si>
    <t>Kasman Sudirman</t>
  </si>
  <si>
    <t>Tidak di Publish</t>
  </si>
  <si>
    <t>Token dan Prabayar</t>
  </si>
  <si>
    <t>Umum</t>
  </si>
  <si>
    <t>Jalan Sahabat Raya no 27</t>
  </si>
  <si>
    <t>Spring Bed, Lemari,               Meja,          Exhaust,               AC</t>
  </si>
  <si>
    <t>Bebas</t>
  </si>
  <si>
    <t>Bebas,                        Kunci Pagar</t>
  </si>
  <si>
    <t>5 x4</t>
  </si>
  <si>
    <t>PLN dan Perbulan</t>
  </si>
  <si>
    <t>CCTV, Penjaga</t>
  </si>
  <si>
    <t>Tempat tidur,          Spring Bed,                Lemari</t>
  </si>
  <si>
    <t>8 Juta Per Tahun</t>
  </si>
  <si>
    <t>Mardawati</t>
  </si>
  <si>
    <t>22, 00 dan kunci</t>
  </si>
  <si>
    <t>Putri</t>
  </si>
  <si>
    <t>+6285323006053</t>
  </si>
  <si>
    <t>Jalan Sahabat 3 no 18</t>
  </si>
  <si>
    <t>Ibu Sakia sama Bapak Anto</t>
  </si>
  <si>
    <t xml:space="preserve">+6285399929977, +6282124347558 </t>
  </si>
  <si>
    <t>Rp. 1.500.000</t>
  </si>
  <si>
    <t>4x3</t>
  </si>
  <si>
    <t>Ac,                              Spring Bed,              Lemari,                    Wc Dalam,                  wifi,                            electric hoist</t>
  </si>
  <si>
    <t>Spring Bed</t>
  </si>
  <si>
    <t>Dapur</t>
  </si>
  <si>
    <t>Ac</t>
  </si>
  <si>
    <t>Kipas</t>
  </si>
  <si>
    <t>&lt;=2</t>
  </si>
  <si>
    <t>Biaya (Rp/Bulan)</t>
  </si>
  <si>
    <t>Jarak ke Kampus</t>
  </si>
  <si>
    <t>1.200.000</t>
  </si>
  <si>
    <t>Kode</t>
  </si>
  <si>
    <t>2. Menentukan Bobot dari Kriteria</t>
  </si>
  <si>
    <t>1. Menentukan Kriteria</t>
  </si>
  <si>
    <t>Ci</t>
  </si>
  <si>
    <t>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</si>
  <si>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</si>
  <si>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</si>
  <si>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</si>
  <si>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</si>
  <si>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</si>
  <si>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</si>
  <si>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</si>
  <si>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</si>
  <si>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</si>
  <si>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3. Menentukan Atribut Kriteria</t>
  </si>
  <si>
    <t>Atribut</t>
  </si>
  <si>
    <t>4. Menentukan Crips</t>
  </si>
  <si>
    <t>Studi Kasus</t>
  </si>
  <si>
    <t>A1</t>
  </si>
  <si>
    <t>A2</t>
  </si>
  <si>
    <t>A3</t>
  </si>
  <si>
    <t>Keterangan</t>
  </si>
  <si>
    <t>&gt;= Rp 900.000 – Rp 1.300.000</t>
  </si>
  <si>
    <t>&gt;= Rp 1.300.000 – Rp 1.600.000</t>
  </si>
  <si>
    <t>&gt;= Rp 1.600.000 – Rp 2.000.000</t>
  </si>
  <si>
    <t>Pascabayar/bulanan</t>
  </si>
  <si>
    <t>token</t>
  </si>
  <si>
    <t>Pascabayar</t>
  </si>
  <si>
    <t>6. Membuat Matriks Keputusan</t>
  </si>
  <si>
    <t>Ai</t>
  </si>
  <si>
    <t>7. Normalisasi</t>
  </si>
  <si>
    <t>C1= Cost: Nilai minimal / Nilai Alternatif Kriteria</t>
  </si>
  <si>
    <t xml:space="preserve">C2= Benefit: Nilai Alternatif Kriteria/ Nilai Maximal  </t>
  </si>
  <si>
    <t xml:space="preserve">C3= Benefit: Nilai Alternatif Kriteria/ Nilai Maximal  </t>
  </si>
  <si>
    <t xml:space="preserve">C5= Benefit: Nilai Alternatif Kriteria/ Nilai Maximal  </t>
  </si>
  <si>
    <t>C6= Cost: Nilai minimal / Nilai Alternatif Kriteria</t>
  </si>
  <si>
    <t xml:space="preserve">C7= Benefit: Nilai Alternatif Kriteria/ Nilai Maximal  </t>
  </si>
  <si>
    <t xml:space="preserve">C8= Benefit: Nilai Alternatif Kriteria/ Nilai Maximal  </t>
  </si>
  <si>
    <t>8. Matriks ternomalisasi</t>
  </si>
  <si>
    <t>9. Perangkingan</t>
  </si>
  <si>
    <t>Total</t>
  </si>
  <si>
    <t>Ranking</t>
  </si>
  <si>
    <t>kursi</t>
  </si>
  <si>
    <t xml:space="preserve">kebersihan </t>
  </si>
  <si>
    <t>Jenis listrik</t>
  </si>
  <si>
    <t>Kebersihan</t>
  </si>
  <si>
    <t>dibersihkan setiap hari</t>
  </si>
  <si>
    <t>dibersihkan seminggu hari</t>
  </si>
  <si>
    <t>dibersihkan sebulan sekali</t>
  </si>
  <si>
    <t>Ukuran Kamar (m²)</t>
  </si>
  <si>
    <t>Kos Kantin Surabaya</t>
  </si>
  <si>
    <t>&gt;Rp.900.000 – Rp.1.300.000</t>
  </si>
  <si>
    <t>Lengkap (Kasur, Lemari, AC, Kamar Mandi Dalam, WiFi, Parkir Luas)</t>
  </si>
  <si>
    <t>Lengkap (dekat tempat makan, ibadah, hiburan)</t>
  </si>
  <si>
    <t>Tidak ada batas jam malam</t>
  </si>
  <si>
    <t>Dibersihkan setiap hari</t>
  </si>
  <si>
    <t>50 meter</t>
  </si>
  <si>
    <t>Amanah Kos</t>
  </si>
  <si>
    <t>Lengkap (dekat tempat makan, warung, ibadah, hiburan)</t>
  </si>
  <si>
    <t>CCTV &amp; Penjaga</t>
  </si>
  <si>
    <t>21.00–22.00</t>
  </si>
  <si>
    <t>Prabayar</t>
  </si>
  <si>
    <t>D’Orange</t>
  </si>
  <si>
    <t>≤Rp.700.000 – Rp.900.000</t>
  </si>
  <si>
    <t>Cukup Lengkap (dekat makan, ibadah, hiburan)</t>
  </si>
  <si>
    <t>23.00–24.00</t>
  </si>
  <si>
    <t>&gt;250 meter – 1 km</t>
  </si>
  <si>
    <t>A4</t>
  </si>
  <si>
    <t>Kos Janji</t>
  </si>
  <si>
    <t>Cukup Lengkap (Kasur, Lemari, Kipas, KM Dalam)</t>
  </si>
  <si>
    <t>Lengkap (dekat makan, warung, ibadah, hiburan)</t>
  </si>
  <si>
    <t>Tidak ada keamanan</t>
  </si>
  <si>
    <t>Dibersihkan seminggu sekali</t>
  </si>
  <si>
    <t>A5</t>
  </si>
  <si>
    <t>Kos Faazana</t>
  </si>
  <si>
    <t>Lengkap (Kasur, Lemari, AC, KM Dalam, WiFi, Parkir)</t>
  </si>
  <si>
    <t>Lengkap (dekat makan, ibadah, hiburan)</t>
  </si>
  <si>
    <t>&gt;50 – 250 meter</t>
  </si>
  <si>
    <t>A6</t>
  </si>
  <si>
    <t>Graha Green</t>
  </si>
  <si>
    <t>Ukuran ruangan</t>
  </si>
  <si>
    <t>50 m</t>
  </si>
  <si>
    <t>&gt;50 -250 m</t>
  </si>
  <si>
    <t>&gt;250 - 1km</t>
  </si>
  <si>
    <t>&gt;1km -2.5 km</t>
  </si>
  <si>
    <t>&lt;= RP.700.000 - Rp. 900.000</t>
  </si>
  <si>
    <t>&gt; RP.900.000 - Rp. 1.300.000</t>
  </si>
  <si>
    <t>&gt; RP.1.300.000 - Rp. 1.600.00</t>
  </si>
  <si>
    <t>&gt; RP.1.600.000 - Rp. 2.000.00</t>
  </si>
  <si>
    <t>Kasur, lemari, kipas</t>
  </si>
  <si>
    <t>Kasur, lemari, kipas/Ac, kamar mandi dalam</t>
  </si>
  <si>
    <t>Kasur, lemari, kipas/Ac, kamar mandi dalam, wifi dan parkir</t>
  </si>
  <si>
    <t>keterangan</t>
  </si>
  <si>
    <t>Sangat tidak lengkap</t>
  </si>
  <si>
    <t>tidak lengkap</t>
  </si>
  <si>
    <t>cukup lengkap</t>
  </si>
  <si>
    <t>lengkap</t>
  </si>
  <si>
    <t>Dekat dengan tempat hiburan</t>
  </si>
  <si>
    <t>dekat dengan tempat makan sama tempat hiburan</t>
  </si>
  <si>
    <t>dekat dengan tempat makan sama tempat hiburan, ibadah</t>
  </si>
  <si>
    <t>dekat dengan tempat makan sama tempat hiburan, warung</t>
  </si>
  <si>
    <t>satpam</t>
  </si>
  <si>
    <t>3x3 m^2</t>
  </si>
  <si>
    <t>3x4m^2</t>
  </si>
  <si>
    <t>4x5m^2</t>
  </si>
  <si>
    <t>5x6^2</t>
  </si>
  <si>
    <t>21:00 - 22:00</t>
  </si>
  <si>
    <t>23:00 - 24:00</t>
  </si>
  <si>
    <t>bebas</t>
  </si>
  <si>
    <t>01:00-02:00</t>
  </si>
  <si>
    <t>C2= Cost: Nilai minimal / Nilai Alternatif Kriteria</t>
  </si>
  <si>
    <t>C7= Cost: Nilai minimal / Nilai Alternatif Kriteria</t>
  </si>
  <si>
    <t>C9= Cost: Nilai minimal / Nilai Alternatif Kriteria</t>
  </si>
  <si>
    <t>CCTV dan satpam</t>
  </si>
  <si>
    <t xml:space="preserve">C4= Benefit: Nilai Alternatif Kriteria/ Nilai Maximal  </t>
  </si>
  <si>
    <t xml:space="preserve">C6= Benefit: Nilai Alternatif Kriteria/ Nilai Maximal  </t>
  </si>
  <si>
    <t>Roc</t>
  </si>
  <si>
    <t>Rank</t>
  </si>
  <si>
    <t>Bobot utama</t>
  </si>
  <si>
    <t>Roc dikalikan dapat nilai real</t>
  </si>
  <si>
    <t>Perhitungan ROC</t>
  </si>
  <si>
    <t xml:space="preserve">Roc dikalikan dapat nilai real </t>
  </si>
  <si>
    <t xml:space="preserve">Bobot utama </t>
  </si>
  <si>
    <t>beda 16</t>
  </si>
  <si>
    <t>sama</t>
  </si>
  <si>
    <t>beda 1</t>
  </si>
  <si>
    <t>beda 2</t>
  </si>
  <si>
    <t>beda 14</t>
  </si>
  <si>
    <t>Jalan Sahabat 1 no 17</t>
  </si>
  <si>
    <t>Ibu Maya</t>
  </si>
  <si>
    <t>12 juta per tahun</t>
  </si>
  <si>
    <t>3 x 4</t>
  </si>
  <si>
    <t xml:space="preserve">meteran </t>
  </si>
  <si>
    <t>23,00 dan kunci</t>
  </si>
  <si>
    <t>Pondok Anaqu</t>
  </si>
  <si>
    <t>Jalan Sahabat 3</t>
  </si>
  <si>
    <t>Pondok Merdeka 1</t>
  </si>
  <si>
    <t>Pondok Merdeka 2</t>
  </si>
  <si>
    <t>5 x 4</t>
  </si>
  <si>
    <t xml:space="preserve">bebas </t>
  </si>
  <si>
    <t xml:space="preserve">Kasur,                        lemari,                      wifi,                           kamar mandi dalam                                        </t>
  </si>
  <si>
    <t>Ac,                              lemari,                      kasur,                        kamar mandi dalam</t>
  </si>
  <si>
    <t>kunci</t>
  </si>
  <si>
    <t>Putri / Putra</t>
  </si>
  <si>
    <t>Jalan Sejati no 5</t>
  </si>
  <si>
    <t>Jalan Sahabat 3 Tamalanrea</t>
  </si>
  <si>
    <t>Ibu Hamida</t>
  </si>
  <si>
    <t>Jalan Sahabat 3 no 30</t>
  </si>
  <si>
    <t>Pondok Vina</t>
  </si>
  <si>
    <t xml:space="preserve">+6288705410261,             +6285299765411        </t>
  </si>
  <si>
    <t>+6281213716804</t>
  </si>
  <si>
    <t>+6282311111527</t>
  </si>
  <si>
    <t>Rp. 600.000</t>
  </si>
  <si>
    <t>sandi kunci</t>
  </si>
  <si>
    <t>wc dalam,           wifi</t>
  </si>
  <si>
    <t>CCTV dan Penjaga</t>
  </si>
  <si>
    <t>umum</t>
  </si>
  <si>
    <t>khusus</t>
  </si>
  <si>
    <t>meteran</t>
  </si>
  <si>
    <t>pembayaran awal</t>
  </si>
  <si>
    <t>Listrik</t>
  </si>
  <si>
    <t>Air</t>
  </si>
  <si>
    <t>Jam Malam</t>
  </si>
  <si>
    <t>800.000/bln</t>
  </si>
  <si>
    <t>Awal</t>
  </si>
  <si>
    <t>3×4</t>
  </si>
  <si>
    <t>CCTV + Penjaga</t>
  </si>
  <si>
    <t>Jam 22.00</t>
  </si>
  <si>
    <t>1.200.000/bln</t>
  </si>
  <si>
    <t>1.500.000/bln</t>
  </si>
  <si>
    <t>4×5</t>
  </si>
  <si>
    <t>Pondok Hikmah Jaya 2</t>
  </si>
  <si>
    <t>8.000.000/thn</t>
  </si>
  <si>
    <t>5×4</t>
  </si>
  <si>
    <t>Kunci Pagar</t>
  </si>
  <si>
    <t>4×3</t>
  </si>
  <si>
    <t>A7</t>
  </si>
  <si>
    <t>12.000.000/thn</t>
  </si>
  <si>
    <t>Meteran</t>
  </si>
  <si>
    <t>A8</t>
  </si>
  <si>
    <t>A9</t>
  </si>
  <si>
    <t>A10</t>
  </si>
  <si>
    <t>600.000/bln</t>
  </si>
  <si>
    <t>Batas jam malam</t>
  </si>
  <si>
    <t>Jenis kost</t>
  </si>
  <si>
    <t>Jenis pembayaran air</t>
  </si>
  <si>
    <r>
      <t>12m</t>
    </r>
    <r>
      <rPr>
        <vertAlign val="superscript"/>
        <sz val="8"/>
        <color rgb="FF000000"/>
        <rFont val="Times New Roman"/>
        <family val="1"/>
      </rPr>
      <t>2</t>
    </r>
  </si>
  <si>
    <t>Penjaga sama CCTV</t>
  </si>
  <si>
    <t>Pembayaran awal</t>
  </si>
  <si>
    <t>Beri kunci pagar</t>
  </si>
  <si>
    <t>1.500.000</t>
  </si>
  <si>
    <r>
      <t>20m</t>
    </r>
    <r>
      <rPr>
        <vertAlign val="superscript"/>
        <sz val="8"/>
        <color rgb="FF000000"/>
        <rFont val="Times New Roman"/>
        <family val="1"/>
      </rPr>
      <t>2</t>
    </r>
  </si>
  <si>
    <t>pascabayar</t>
  </si>
  <si>
    <t>Penjaha sama CCTv</t>
  </si>
  <si>
    <t>Ponfok Mama</t>
  </si>
  <si>
    <t>1.000.000</t>
  </si>
  <si>
    <t>beri kunci pagar</t>
  </si>
  <si>
    <t>Beri kunic pagar</t>
  </si>
  <si>
    <t xml:space="preserve">Umum </t>
  </si>
  <si>
    <t>Data Alternatif</t>
  </si>
  <si>
    <t>2 belakang koma</t>
  </si>
  <si>
    <t>3  belakang koma</t>
  </si>
  <si>
    <t>Spring Bed, Kipas, Lemari,
Meja, Wc Dalam,
Dapur Dalam, wifi, tempat parkir</t>
  </si>
  <si>
    <t>Kasur, lemari, wifi, kamar mandi dalam, tempat parkir</t>
  </si>
  <si>
    <t>Kamar Mandi Malam, tempat parkir</t>
  </si>
  <si>
    <t>Ac, lemari, kasur, kamar mandi dalam,tempat parkir</t>
  </si>
  <si>
    <t>Wc dalam, wifi, tempat parkir</t>
  </si>
  <si>
    <t>&gt;=9</t>
  </si>
  <si>
    <t>&lt; 6M^2</t>
  </si>
  <si>
    <t>&gt;= 7M^2 - 9M^2</t>
  </si>
  <si>
    <t>&gt;= 10M^2 - 12M^2</t>
  </si>
  <si>
    <t>&gt;= 13M^2 - 16M^2</t>
  </si>
  <si>
    <t>&gt; 2km -3km</t>
  </si>
  <si>
    <t>&gt;= 3km</t>
  </si>
  <si>
    <t>&gt; 1km - 2km</t>
  </si>
  <si>
    <t>Penjaga</t>
  </si>
  <si>
    <t>penjaga sama CCTV</t>
  </si>
  <si>
    <t>kunci Pagar</t>
  </si>
  <si>
    <t>Kunci pagar</t>
  </si>
  <si>
    <t>(-5.127281,119.488669)</t>
  </si>
  <si>
    <t>( -5.127030,119.488926)</t>
  </si>
  <si>
    <t>(-5.127017,119.488856)</t>
  </si>
  <si>
    <t>(-5.127082,119.489027)</t>
  </si>
  <si>
    <t>(-5.125404780907577,119.48889836590615)</t>
  </si>
  <si>
    <t>(-5.127025,119.488688)</t>
  </si>
  <si>
    <t>(-5.128206,119.491662)</t>
  </si>
  <si>
    <t>( -5.128350,119.491835)</t>
  </si>
  <si>
    <t>titik koordinat</t>
  </si>
  <si>
    <t>(-5.127962,119.490895)</t>
  </si>
  <si>
    <t>(-5.127459,119.489656)</t>
  </si>
  <si>
    <t>nama_jalan, Tamalanrea Indah, Tamalanrea, Kota Makassar, Sulawesi Selatan</t>
  </si>
  <si>
    <t>Jalan Sahabat 3 no 15,Tamalanrea Indah, Tamalanrea, Kota Makassar, Sulawesi Selatan</t>
  </si>
  <si>
    <t>Jalan Sahabat 3 no 15, Tamalanrea Indah, Tamalanrea, Kota Makassar, Sulawesi Selatan</t>
  </si>
  <si>
    <t>Jalan Sahabat 1 no 17, Tamalanrea Indah, Tamalanrea, Kota Makassar, Sulawesi Selatan</t>
  </si>
  <si>
    <t>Jalan Sahabat 3 no 18, Tamalanrea Indah, Tamalanrea, Kota Makassar, Sulawesi Selatan</t>
  </si>
  <si>
    <t>Jalan Sahabat Raya no 27, Tamalanrea Indah, Tamalanrea, Kota Makassar, Sulawesi Selatan</t>
  </si>
  <si>
    <t>Jalan Sahabat 3, Tamalanrea Indah, Tamalanrea, Kota Makassar, Sulawesi Selatan</t>
  </si>
  <si>
    <t>Jalan Sejati no 5, Tamalanrea Indah, Tamalanrea, Kota Makassar, Sulawesi Selatan</t>
  </si>
  <si>
    <t>Jalan Sahabat 3 Tamalanrea, Tamalanrea Indah, Tamalanrea, Kota Makassar, Sulawesi Selatan</t>
  </si>
  <si>
    <t>Jalan Sahabat 3 no 30, Tamalanrea Indah, Tamalanrea, Kota Makassar, Sulawesi Selatan</t>
  </si>
  <si>
    <t>id</t>
  </si>
  <si>
    <t>pass</t>
  </si>
  <si>
    <t>olan@gmail.com</t>
  </si>
  <si>
    <t>mardawati@gmail.com</t>
  </si>
  <si>
    <t>olan12</t>
  </si>
  <si>
    <t>mardawati</t>
  </si>
  <si>
    <t>kasman@gmail.com</t>
  </si>
  <si>
    <t>sudirman</t>
  </si>
  <si>
    <t>anto@gmail.com</t>
  </si>
  <si>
    <t>maya@gmail.com</t>
  </si>
  <si>
    <t>antosakia</t>
  </si>
  <si>
    <t>maya12</t>
  </si>
  <si>
    <t>2.99 km</t>
  </si>
  <si>
    <t>3.01 km</t>
  </si>
  <si>
    <t>3.10 km</t>
  </si>
  <si>
    <t>3.24 km</t>
  </si>
  <si>
    <t>3.52 km</t>
  </si>
  <si>
    <t>3.53 km</t>
  </si>
  <si>
    <t>3.54 km</t>
  </si>
  <si>
    <t>3.55 km</t>
  </si>
  <si>
    <t>3.63 km</t>
  </si>
  <si>
    <t>putri</t>
  </si>
  <si>
    <t>&gt;= 3 - 4</t>
  </si>
  <si>
    <t>&gt;= 5 - 6</t>
  </si>
  <si>
    <t>&gt;= 7 - 8</t>
  </si>
  <si>
    <t>&gt;= Rp 2.000.000</t>
  </si>
  <si>
    <t>bulanan</t>
  </si>
  <si>
    <t>Pondok Virda</t>
  </si>
  <si>
    <t>Jalan Sahabat 6</t>
  </si>
  <si>
    <t>Putri/Putra</t>
  </si>
  <si>
    <t>CCTV sama penjaga</t>
  </si>
  <si>
    <t>pemilk = Akil, narasumber = irfan</t>
  </si>
  <si>
    <t>085323455503 = akil</t>
  </si>
  <si>
    <t>ibu susan</t>
  </si>
  <si>
    <t>Pondok Azizah</t>
  </si>
  <si>
    <t>Jalan Sahabat 5</t>
  </si>
  <si>
    <t>Rp. 9.000.000 per tahun</t>
  </si>
  <si>
    <t>Rp. 7.500.000 per tahun</t>
  </si>
  <si>
    <t>lemari, spring bed, wc dalam, rak penyimpanan alat masak, AC, parkir</t>
  </si>
  <si>
    <t>Perbulan dan sumur bor</t>
  </si>
  <si>
    <t>23,00</t>
  </si>
  <si>
    <t>Pondok Yumma</t>
  </si>
  <si>
    <t>Akbar</t>
  </si>
  <si>
    <t>Rp. 8.500.000 per tahun</t>
  </si>
  <si>
    <t xml:space="preserve">Perbulan </t>
  </si>
  <si>
    <t>tidak ada batas jam malam</t>
  </si>
  <si>
    <t>0812 9898 1575</t>
  </si>
  <si>
    <t>Pondok PG ONE</t>
  </si>
  <si>
    <t>Anis Adrian</t>
  </si>
  <si>
    <t>08124255730</t>
  </si>
  <si>
    <t>Jalan sahabt 6 no 5</t>
  </si>
  <si>
    <t>Rp. 7.000.000 per tahun</t>
  </si>
  <si>
    <t>Kasur, lemari, meja, kipas, parkir</t>
  </si>
  <si>
    <t>wc dalam,  lemari, kipas, tempat tidur, parkir</t>
  </si>
  <si>
    <t>Tempat tidur,  lemari, wc dalam, parkir</t>
  </si>
  <si>
    <t>3 x 5</t>
  </si>
  <si>
    <t>diberi kunci</t>
  </si>
  <si>
    <t>Fajarnur</t>
  </si>
  <si>
    <t>Jalan sahabat 6 no 6</t>
  </si>
  <si>
    <t>Rp. 730.000 per bulan</t>
  </si>
  <si>
    <t>Kipas angin , lemari, tempat tidur, wc dalam, parkir</t>
  </si>
  <si>
    <t>Pembayaran Awal</t>
  </si>
  <si>
    <t>pemilik = saipul, narasumber = Ernawati</t>
  </si>
  <si>
    <t>Ernawati=083852260303</t>
  </si>
  <si>
    <t>Pondok Ananda 2</t>
  </si>
  <si>
    <t>sadli</t>
  </si>
  <si>
    <t>Jalan sahabat 6</t>
  </si>
  <si>
    <t>085256608655</t>
  </si>
  <si>
    <t>Rp. 8.000.000 per tahun</t>
  </si>
  <si>
    <t xml:space="preserve">spring bed, Lemari, kipas, wc dalam, parkir              </t>
  </si>
  <si>
    <t>A11</t>
  </si>
  <si>
    <t>A12</t>
  </si>
  <si>
    <t>A13</t>
  </si>
  <si>
    <t>A14</t>
  </si>
  <si>
    <t>A15</t>
  </si>
  <si>
    <t>A16</t>
  </si>
  <si>
    <t>CCTV + penjaga</t>
  </si>
  <si>
    <t>FajarNur</t>
  </si>
  <si>
    <r>
      <t>15m</t>
    </r>
    <r>
      <rPr>
        <vertAlign val="superscript"/>
        <sz val="8"/>
        <color rgb="FF000000"/>
        <rFont val="Times New Roman"/>
        <family val="1"/>
      </rPr>
      <t>2</t>
    </r>
  </si>
  <si>
    <t>tidak ada batas jam</t>
  </si>
  <si>
    <t>perbulan</t>
  </si>
  <si>
    <t>(-5.126183752017252, 119.4894111008768)</t>
  </si>
  <si>
    <t>(-5.1268454283606975, 119.48920646644316)</t>
  </si>
  <si>
    <t>085390779022</t>
  </si>
  <si>
    <t>(-5.126797422912789, 119.48937197219364)</t>
  </si>
  <si>
    <t>(-5.126455080429195, 119.48943764285266)</t>
  </si>
  <si>
    <t>(-5.126534499708367, 119.48932911841942)</t>
  </si>
  <si>
    <t>(-5.126141,119.490859)</t>
  </si>
  <si>
    <t>Jalan Sahabat 5 lorong 4 no 65, Tamalanrea Indah, Tamalanrea, Kota Makassar, Sulawesi Selatan</t>
  </si>
  <si>
    <t>Jalan sahabt 6 no 5, Tamalanrea Indah, Tamalanrea, Kota Makassar, Sulawesi Selatan</t>
  </si>
  <si>
    <t>Jalan sahabat 6 no 6, Tamalanrea Indah, Tamalanrea, Kota Makassar, Sulawesi Selatan</t>
  </si>
  <si>
    <t>Jalan sahabat 6, Tamalanrea Indah, Tamalanrea, Kota Makassar, Sulawesi Selatan</t>
  </si>
  <si>
    <t>Jalan Sahabat 6, Tamalanrea Indah, Tamalanrea, Kota Makassar, Sulawesi Selatan</t>
  </si>
  <si>
    <t>Jalan Sahabat 5, Tamalanrea Indah, Tamalanrea, Kota Makassar, Sulawesi Selatan</t>
  </si>
  <si>
    <t>akil@gmail.com</t>
  </si>
  <si>
    <t>akil12</t>
  </si>
  <si>
    <t>susan1</t>
  </si>
  <si>
    <t>susan@gmail.com</t>
  </si>
  <si>
    <t>akbar@gmail.com</t>
  </si>
  <si>
    <t>sadli@gmail.com</t>
  </si>
  <si>
    <t>akbar1</t>
  </si>
  <si>
    <t>sadli1</t>
  </si>
  <si>
    <t>anis@gmail.com</t>
  </si>
  <si>
    <t>ernawati@gmail.com</t>
  </si>
  <si>
    <t>adrian</t>
  </si>
  <si>
    <t>ernawati</t>
  </si>
  <si>
    <t>3.50km</t>
  </si>
  <si>
    <t>3.59km</t>
  </si>
  <si>
    <t>3.42km</t>
  </si>
  <si>
    <t>3.43km</t>
  </si>
  <si>
    <t>3.47km</t>
  </si>
  <si>
    <t>3.46km</t>
  </si>
  <si>
    <t>≤ Rp 900.000</t>
  </si>
  <si>
    <t>&gt;= 17M^2</t>
  </si>
  <si>
    <t>C9= Benefit: Nilai Alternatif Kriteria/ Nilai Maximal  3</t>
  </si>
  <si>
    <t>9 perangkingan</t>
  </si>
  <si>
    <t>D19</t>
  </si>
  <si>
    <t>D18</t>
  </si>
  <si>
    <t>D20</t>
  </si>
  <si>
    <t>D21</t>
  </si>
  <si>
    <t>D22</t>
  </si>
  <si>
    <t>D23</t>
  </si>
  <si>
    <t>D24</t>
  </si>
  <si>
    <t>D25</t>
  </si>
  <si>
    <t>D26</t>
  </si>
  <si>
    <t>y</t>
  </si>
  <si>
    <t>merdeka 1</t>
  </si>
  <si>
    <t>azizah</t>
  </si>
  <si>
    <t>4 dibelakang koma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</si>
  <si>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</si>
  <si>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</si>
  <si>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</si>
  <si>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</si>
  <si>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</si>
  <si>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</si>
  <si>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</si>
  <si>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</si>
  <si>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</si>
  <si>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hamida@gmail.com</t>
  </si>
  <si>
    <t>hamida</t>
  </si>
  <si>
    <t>meteran dan perbulan</t>
  </si>
  <si>
    <t>3.5 x 4</t>
  </si>
  <si>
    <t>Pasabayar</t>
  </si>
  <si>
    <t>include pembayaran</t>
  </si>
  <si>
    <t>ini revisi</t>
  </si>
  <si>
    <t>versi lama</t>
  </si>
  <si>
    <t>versi baru</t>
  </si>
  <si>
    <t xml:space="preserve">C9= Benefit: Nilai Alternatif Kriteria/ Nilai Maximal </t>
  </si>
  <si>
    <t>versi revisi</t>
  </si>
  <si>
    <r>
      <t>14m</t>
    </r>
    <r>
      <rPr>
        <vertAlign val="superscript"/>
        <sz val="8"/>
        <color rgb="FF000000"/>
        <rFont val="Times New Roman"/>
        <family val="1"/>
      </rPr>
      <t>2</t>
    </r>
  </si>
  <si>
    <t>Spring Bed,
Lemari, tempat parkir, kamar mandi dalam</t>
  </si>
  <si>
    <t>Kasur, lemari, meja, kipas, parkir, kamar mandi dalam</t>
  </si>
  <si>
    <t>Spring bed, lemari, meja,  ac, tempat parkir, kamar mandi dalam, exhaust</t>
  </si>
  <si>
    <t xml:space="preserve">Spring Bed,
Lemari, Meja,
Wc Dalam,
Dapur Dalam,Wifi, tempat parkir, AC, electrict hoist         </t>
  </si>
  <si>
    <t xml:space="preserve">Spring Bed, electrict hoist , Lemari, Meja, Wc Dalam,
Dapur Dalam, AC, Wifi, Tempat parkir         </t>
  </si>
  <si>
    <t>Narasumber</t>
  </si>
  <si>
    <t>Ac, spring bed, lemari, wc Dalam, wifi, tempat parkir, electric hoist</t>
  </si>
  <si>
    <t>&lt;= 1km</t>
  </si>
  <si>
    <t>&gt; 3km</t>
  </si>
  <si>
    <t>Nama narasumber Kost</t>
  </si>
  <si>
    <t xml:space="preserve">No tlpn </t>
  </si>
  <si>
    <t>No tlpn Kost</t>
  </si>
  <si>
    <t>650.000/bulan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</si>
</sst>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"/>
    <numFmt numFmtId="167" formatCode="0.0000"/>
    <numFmt numFmtId="168" formatCode="0.00000000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vertAlign val="superscript"/>
      <sz val="8"/>
      <color rgb="FF000000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20" fontId="9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20" fontId="0" fillId="0" borderId="0" xfId="0" applyNumberFormat="1"/>
    <xf numFmtId="0" fontId="12" fillId="0" borderId="0" xfId="1" applyAlignment="1">
      <alignment horizontal="center" vertical="center"/>
    </xf>
    <xf numFmtId="20" fontId="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6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167" fontId="0" fillId="0" borderId="0" xfId="0" applyNumberFormat="1"/>
    <xf numFmtId="167" fontId="0" fillId="2" borderId="0" xfId="0" applyNumberFormat="1" applyFill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0" fillId="4" borderId="0" xfId="0" applyFill="1"/>
    <xf numFmtId="2" fontId="0" fillId="4" borderId="0" xfId="0" applyNumberFormat="1" applyFill="1"/>
    <xf numFmtId="0" fontId="0" fillId="6" borderId="0" xfId="0" applyFill="1"/>
    <xf numFmtId="2" fontId="0" fillId="6" borderId="0" xfId="0" applyNumberFormat="1" applyFill="1"/>
    <xf numFmtId="0" fontId="9" fillId="6" borderId="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3" fillId="4" borderId="0" xfId="0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7" fontId="13" fillId="4" borderId="0" xfId="0" applyNumberFormat="1" applyFont="1" applyFill="1" applyAlignment="1">
      <alignment horizontal="center" vertical="center"/>
    </xf>
    <xf numFmtId="167" fontId="0" fillId="5" borderId="0" xfId="0" applyNumberFormat="1" applyFill="1"/>
    <xf numFmtId="167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168" fontId="0" fillId="0" borderId="0" xfId="0" applyNumberFormat="1"/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0" fontId="9" fillId="0" borderId="4" xfId="0" applyNumberFormat="1" applyFont="1" applyBorder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497224</xdr:colOff>
      <xdr:row>30</xdr:row>
      <xdr:rowOff>62345</xdr:rowOff>
    </xdr:from>
    <xdr:ext cx="1003736" cy="4612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5D3277-17F7-DA01-7524-251981452EFD}"/>
                </a:ext>
              </a:extLst>
            </xdr:cNvPr>
            <xdr:cNvSpPr txBox="1"/>
          </xdr:nvSpPr>
          <xdr:spPr>
            <a:xfrm>
              <a:off x="6703004" y="8605786"/>
              <a:ext cx="1003736" cy="4612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𝑏𝑜𝑏𝑜𝑡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25D3277-17F7-DA01-7524-251981452EFD}"/>
                </a:ext>
              </a:extLst>
            </xdr:cNvPr>
            <xdr:cNvSpPr txBox="1"/>
          </xdr:nvSpPr>
          <xdr:spPr>
            <a:xfrm>
              <a:off x="6703004" y="8605786"/>
              <a:ext cx="1003736" cy="4612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𝑏𝑜𝑏𝑜𝑡=  1/𝑛 ∑_1^𝑚▒1/𝑖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162732</xdr:colOff>
      <xdr:row>33</xdr:row>
      <xdr:rowOff>149815</xdr:rowOff>
    </xdr:from>
    <xdr:ext cx="2426776" cy="4297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928D46B-536A-7A3B-1E1C-884FC392D315}"/>
                </a:ext>
              </a:extLst>
            </xdr:cNvPr>
            <xdr:cNvSpPr txBox="1"/>
          </xdr:nvSpPr>
          <xdr:spPr>
            <a:xfrm>
              <a:off x="6368512" y="9235696"/>
              <a:ext cx="2426776" cy="4297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7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 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9</m:t>
                            </m:r>
                          </m:den>
                        </m:f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928D46B-536A-7A3B-1E1C-884FC392D315}"/>
                </a:ext>
              </a:extLst>
            </xdr:cNvPr>
            <xdr:cNvSpPr txBox="1"/>
          </xdr:nvSpPr>
          <xdr:spPr>
            <a:xfrm>
              <a:off x="6368512" y="9235696"/>
              <a:ext cx="2426776" cy="4297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1+ 1/2+ 1/3+ 1/4+ 1/5+ 1/6+ 1/7+1/8+ 1/9)/9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mida@gmail.com" TargetMode="External"/><Relationship Id="rId13" Type="http://schemas.openxmlformats.org/officeDocument/2006/relationships/hyperlink" Target="mailto:ernawati@gmail.com" TargetMode="External"/><Relationship Id="rId3" Type="http://schemas.openxmlformats.org/officeDocument/2006/relationships/hyperlink" Target="mailto:olan@gmail.com" TargetMode="External"/><Relationship Id="rId7" Type="http://schemas.openxmlformats.org/officeDocument/2006/relationships/hyperlink" Target="mailto:maya@gmail.com" TargetMode="External"/><Relationship Id="rId12" Type="http://schemas.openxmlformats.org/officeDocument/2006/relationships/hyperlink" Target="mailto:anis@gmail.com" TargetMode="External"/><Relationship Id="rId2" Type="http://schemas.openxmlformats.org/officeDocument/2006/relationships/hyperlink" Target="mailto:mardawati@gmail.com" TargetMode="External"/><Relationship Id="rId1" Type="http://schemas.openxmlformats.org/officeDocument/2006/relationships/hyperlink" Target="mailto:olan@gmail.com" TargetMode="External"/><Relationship Id="rId6" Type="http://schemas.openxmlformats.org/officeDocument/2006/relationships/hyperlink" Target="mailto:maya@gmail.com" TargetMode="External"/><Relationship Id="rId11" Type="http://schemas.openxmlformats.org/officeDocument/2006/relationships/hyperlink" Target="mailto:akbar@gmail.com" TargetMode="External"/><Relationship Id="rId5" Type="http://schemas.openxmlformats.org/officeDocument/2006/relationships/hyperlink" Target="mailto:anto@gmail.com" TargetMode="External"/><Relationship Id="rId10" Type="http://schemas.openxmlformats.org/officeDocument/2006/relationships/hyperlink" Target="mailto:susan@gmail.com" TargetMode="External"/><Relationship Id="rId4" Type="http://schemas.openxmlformats.org/officeDocument/2006/relationships/hyperlink" Target="mailto:kasman@gmail.com" TargetMode="External"/><Relationship Id="rId9" Type="http://schemas.openxmlformats.org/officeDocument/2006/relationships/hyperlink" Target="mailto:akil@gmail.com" TargetMode="External"/><Relationship Id="rId14" Type="http://schemas.openxmlformats.org/officeDocument/2006/relationships/hyperlink" Target="mailto:sadl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AEE5-C1DF-4E3B-B1A0-CC373A6F6C73}">
  <dimension ref="A2:P49"/>
  <sheetViews>
    <sheetView topLeftCell="A6" zoomScale="93" workbookViewId="0">
      <selection activeCell="H10" sqref="H10"/>
    </sheetView>
  </sheetViews>
  <sheetFormatPr defaultRowHeight="14.5" x14ac:dyDescent="0.35"/>
  <cols>
    <col min="1" max="2" width="4.453125" customWidth="1"/>
    <col min="3" max="3" width="28.1796875" customWidth="1"/>
    <col min="4" max="4" width="17.36328125" customWidth="1"/>
    <col min="5" max="5" width="25.08984375" customWidth="1"/>
    <col min="6" max="6" width="18.36328125" customWidth="1"/>
    <col min="7" max="7" width="12.54296875" customWidth="1"/>
    <col min="8" max="8" width="29" customWidth="1"/>
    <col min="9" max="9" width="16.08984375" customWidth="1"/>
    <col min="10" max="10" width="13.81640625" customWidth="1"/>
    <col min="11" max="11" width="18.08984375" customWidth="1"/>
    <col min="12" max="12" width="13.453125" customWidth="1"/>
    <col min="13" max="13" width="11.453125" customWidth="1"/>
    <col min="14" max="14" width="18.90625" customWidth="1"/>
    <col min="15" max="15" width="20.6328125" customWidth="1"/>
    <col min="16" max="16" width="18.1796875" customWidth="1"/>
  </cols>
  <sheetData>
    <row r="2" spans="1:16" x14ac:dyDescent="0.35">
      <c r="A2" s="9" t="s">
        <v>44</v>
      </c>
      <c r="B2" s="9" t="s">
        <v>44</v>
      </c>
      <c r="C2" s="9" t="s">
        <v>45</v>
      </c>
      <c r="D2" s="9" t="s">
        <v>506</v>
      </c>
      <c r="E2" s="9" t="s">
        <v>46</v>
      </c>
      <c r="F2" s="8" t="s">
        <v>507</v>
      </c>
      <c r="G2" s="9" t="s">
        <v>47</v>
      </c>
      <c r="H2" s="9" t="s">
        <v>48</v>
      </c>
      <c r="I2" s="12" t="s">
        <v>49</v>
      </c>
      <c r="J2" s="9" t="s">
        <v>33</v>
      </c>
      <c r="K2" s="9" t="s">
        <v>32</v>
      </c>
      <c r="L2" s="9" t="s">
        <v>2</v>
      </c>
      <c r="M2" s="9" t="s">
        <v>4</v>
      </c>
      <c r="N2" s="9" t="s">
        <v>50</v>
      </c>
      <c r="O2" s="9" t="s">
        <v>51</v>
      </c>
      <c r="P2" s="9" t="s">
        <v>52</v>
      </c>
    </row>
    <row r="3" spans="1:16" ht="101.5" x14ac:dyDescent="0.35">
      <c r="A3" s="6">
        <v>1</v>
      </c>
      <c r="B3" s="9">
        <v>1</v>
      </c>
      <c r="C3" s="9" t="s">
        <v>53</v>
      </c>
      <c r="D3" s="9" t="s">
        <v>59</v>
      </c>
      <c r="E3" s="9" t="s">
        <v>60</v>
      </c>
      <c r="F3" s="8" t="s">
        <v>61</v>
      </c>
      <c r="H3" s="8" t="s">
        <v>62</v>
      </c>
      <c r="I3" s="3" t="s">
        <v>68</v>
      </c>
      <c r="J3" s="9" t="s">
        <v>70</v>
      </c>
      <c r="K3" s="7" t="s">
        <v>69</v>
      </c>
      <c r="L3" s="9" t="s">
        <v>65</v>
      </c>
      <c r="M3" s="5" t="s">
        <v>71</v>
      </c>
      <c r="N3" s="5" t="s">
        <v>75</v>
      </c>
      <c r="O3" s="9" t="s">
        <v>38</v>
      </c>
      <c r="P3" s="5" t="s">
        <v>74</v>
      </c>
    </row>
    <row r="4" spans="1:16" ht="116" x14ac:dyDescent="0.35">
      <c r="A4" s="6">
        <v>2</v>
      </c>
      <c r="B4" s="9">
        <v>2</v>
      </c>
      <c r="C4" s="9" t="s">
        <v>54</v>
      </c>
      <c r="D4" s="9" t="s">
        <v>59</v>
      </c>
      <c r="E4" s="9" t="s">
        <v>60</v>
      </c>
      <c r="F4" s="8" t="s">
        <v>61</v>
      </c>
      <c r="H4" s="8" t="s">
        <v>63</v>
      </c>
      <c r="I4" s="11" t="s">
        <v>67</v>
      </c>
      <c r="J4" s="9" t="s">
        <v>70</v>
      </c>
      <c r="K4" s="7" t="s">
        <v>69</v>
      </c>
      <c r="L4" s="9" t="s">
        <v>65</v>
      </c>
      <c r="M4" s="5" t="s">
        <v>73</v>
      </c>
      <c r="N4" s="5" t="s">
        <v>75</v>
      </c>
      <c r="O4" s="12" t="s">
        <v>72</v>
      </c>
      <c r="P4" s="5" t="s">
        <v>74</v>
      </c>
    </row>
    <row r="5" spans="1:16" ht="116" x14ac:dyDescent="0.35">
      <c r="A5" s="9">
        <v>3</v>
      </c>
      <c r="B5" s="9">
        <v>3</v>
      </c>
      <c r="C5" s="9" t="s">
        <v>55</v>
      </c>
      <c r="D5" s="9" t="s">
        <v>59</v>
      </c>
      <c r="E5" s="9" t="s">
        <v>235</v>
      </c>
      <c r="F5" s="8" t="s">
        <v>61</v>
      </c>
      <c r="H5" s="10" t="s">
        <v>64</v>
      </c>
      <c r="I5" s="11" t="s">
        <v>67</v>
      </c>
      <c r="J5" s="9" t="s">
        <v>70</v>
      </c>
      <c r="K5" s="7" t="s">
        <v>69</v>
      </c>
      <c r="L5" s="9" t="s">
        <v>66</v>
      </c>
      <c r="M5" s="5" t="s">
        <v>73</v>
      </c>
      <c r="N5" s="5" t="s">
        <v>75</v>
      </c>
      <c r="O5" s="9" t="s">
        <v>38</v>
      </c>
      <c r="P5" s="5" t="s">
        <v>74</v>
      </c>
    </row>
    <row r="6" spans="1:16" ht="72.5" x14ac:dyDescent="0.35">
      <c r="A6" s="9">
        <v>4</v>
      </c>
      <c r="B6" s="9">
        <v>4</v>
      </c>
      <c r="C6" s="9" t="s">
        <v>58</v>
      </c>
      <c r="D6" s="9" t="s">
        <v>89</v>
      </c>
      <c r="E6" s="9" t="s">
        <v>93</v>
      </c>
      <c r="F6" s="8" t="s">
        <v>92</v>
      </c>
      <c r="G6" s="9" t="s">
        <v>91</v>
      </c>
      <c r="H6" s="14" t="s">
        <v>88</v>
      </c>
      <c r="I6" s="13" t="s">
        <v>87</v>
      </c>
      <c r="J6" s="12" t="s">
        <v>85</v>
      </c>
      <c r="K6" s="7" t="s">
        <v>69</v>
      </c>
      <c r="L6" s="9" t="s">
        <v>84</v>
      </c>
      <c r="M6" s="5" t="s">
        <v>86</v>
      </c>
      <c r="N6" s="5" t="s">
        <v>75</v>
      </c>
      <c r="O6" s="9" t="s">
        <v>90</v>
      </c>
      <c r="P6" s="5" t="s">
        <v>74</v>
      </c>
    </row>
    <row r="7" spans="1:16" ht="72.5" x14ac:dyDescent="0.35">
      <c r="A7" s="9">
        <v>5</v>
      </c>
      <c r="B7" s="9">
        <v>5</v>
      </c>
      <c r="C7" s="9" t="s">
        <v>56</v>
      </c>
      <c r="D7" s="9" t="s">
        <v>76</v>
      </c>
      <c r="E7" s="9" t="s">
        <v>80</v>
      </c>
      <c r="F7" s="8" t="s">
        <v>77</v>
      </c>
      <c r="G7" s="9" t="s">
        <v>79</v>
      </c>
      <c r="H7" s="8" t="s">
        <v>64</v>
      </c>
      <c r="I7" s="3" t="s">
        <v>81</v>
      </c>
      <c r="J7" s="12" t="s">
        <v>78</v>
      </c>
      <c r="K7" s="7" t="s">
        <v>69</v>
      </c>
      <c r="L7" s="9" t="s">
        <v>65</v>
      </c>
      <c r="M7" s="5" t="s">
        <v>73</v>
      </c>
      <c r="N7" s="5" t="s">
        <v>75</v>
      </c>
      <c r="O7" s="12" t="s">
        <v>83</v>
      </c>
      <c r="P7" s="5" t="s">
        <v>74</v>
      </c>
    </row>
    <row r="8" spans="1:16" ht="87" x14ac:dyDescent="0.35">
      <c r="A8" s="9">
        <v>6</v>
      </c>
      <c r="B8" s="9">
        <v>6</v>
      </c>
      <c r="C8" s="9" t="s">
        <v>57</v>
      </c>
      <c r="D8" s="12" t="s">
        <v>94</v>
      </c>
      <c r="E8" s="9" t="s">
        <v>60</v>
      </c>
      <c r="F8" s="14" t="s">
        <v>95</v>
      </c>
      <c r="G8" s="9" t="s">
        <v>91</v>
      </c>
      <c r="H8" s="8" t="s">
        <v>96</v>
      </c>
      <c r="I8" s="3" t="s">
        <v>98</v>
      </c>
      <c r="J8" s="9" t="s">
        <v>70</v>
      </c>
      <c r="K8" s="7" t="s">
        <v>69</v>
      </c>
      <c r="L8" s="9" t="s">
        <v>97</v>
      </c>
      <c r="M8" s="5" t="s">
        <v>73</v>
      </c>
      <c r="N8" s="5" t="s">
        <v>75</v>
      </c>
      <c r="O8" s="9" t="s">
        <v>82</v>
      </c>
      <c r="P8" s="5" t="s">
        <v>74</v>
      </c>
    </row>
    <row r="9" spans="1:16" ht="72.5" x14ac:dyDescent="0.35">
      <c r="A9" s="9">
        <v>7</v>
      </c>
      <c r="B9" s="9">
        <v>7</v>
      </c>
      <c r="C9" s="9" t="s">
        <v>241</v>
      </c>
      <c r="D9" s="9" t="s">
        <v>236</v>
      </c>
      <c r="E9" s="9" t="s">
        <v>242</v>
      </c>
      <c r="F9" s="14" t="s">
        <v>256</v>
      </c>
      <c r="G9" s="9" t="s">
        <v>91</v>
      </c>
      <c r="H9" s="14" t="s">
        <v>237</v>
      </c>
      <c r="I9" s="26" t="s">
        <v>247</v>
      </c>
      <c r="J9" s="9" t="s">
        <v>133</v>
      </c>
      <c r="K9" s="7" t="s">
        <v>239</v>
      </c>
      <c r="L9" s="9" t="s">
        <v>238</v>
      </c>
      <c r="M9" s="5" t="s">
        <v>262</v>
      </c>
      <c r="N9" s="5" t="s">
        <v>75</v>
      </c>
      <c r="O9" s="9" t="s">
        <v>240</v>
      </c>
      <c r="P9" s="5" t="s">
        <v>74</v>
      </c>
    </row>
    <row r="10" spans="1:16" ht="72.5" x14ac:dyDescent="0.35">
      <c r="A10" s="9">
        <v>8</v>
      </c>
      <c r="B10" s="9">
        <v>8</v>
      </c>
      <c r="C10" s="9" t="s">
        <v>243</v>
      </c>
      <c r="D10" s="9" t="s">
        <v>236</v>
      </c>
      <c r="E10" s="9" t="s">
        <v>251</v>
      </c>
      <c r="F10" s="8" t="s">
        <v>257</v>
      </c>
      <c r="G10" s="9" t="s">
        <v>250</v>
      </c>
      <c r="H10" s="2"/>
      <c r="I10" s="3"/>
      <c r="J10" s="9" t="s">
        <v>133</v>
      </c>
      <c r="K10" s="7" t="s">
        <v>239</v>
      </c>
      <c r="L10" s="9" t="s">
        <v>245</v>
      </c>
      <c r="M10" s="5" t="s">
        <v>73</v>
      </c>
      <c r="N10" s="5" t="s">
        <v>75</v>
      </c>
      <c r="O10" s="9" t="s">
        <v>246</v>
      </c>
      <c r="P10" s="5" t="s">
        <v>74</v>
      </c>
    </row>
    <row r="11" spans="1:16" ht="72.5" x14ac:dyDescent="0.35">
      <c r="A11" s="9">
        <v>9</v>
      </c>
      <c r="B11" s="9">
        <v>9</v>
      </c>
      <c r="C11" s="9" t="s">
        <v>244</v>
      </c>
      <c r="D11" s="9" t="s">
        <v>236</v>
      </c>
      <c r="E11" s="9" t="s">
        <v>252</v>
      </c>
      <c r="F11" s="8" t="s">
        <v>257</v>
      </c>
      <c r="G11" s="9" t="s">
        <v>250</v>
      </c>
      <c r="H11" s="14" t="s">
        <v>237</v>
      </c>
      <c r="I11" s="3" t="s">
        <v>248</v>
      </c>
      <c r="J11" s="9" t="s">
        <v>133</v>
      </c>
      <c r="K11" s="7" t="s">
        <v>239</v>
      </c>
      <c r="L11" s="9" t="s">
        <v>238</v>
      </c>
      <c r="M11" s="5" t="s">
        <v>73</v>
      </c>
      <c r="N11" s="5" t="s">
        <v>75</v>
      </c>
      <c r="O11" s="9" t="s">
        <v>249</v>
      </c>
      <c r="P11" s="5" t="s">
        <v>74</v>
      </c>
    </row>
    <row r="12" spans="1:16" ht="72.5" x14ac:dyDescent="0.35">
      <c r="A12" s="9">
        <v>10</v>
      </c>
      <c r="B12" s="9">
        <v>10</v>
      </c>
      <c r="C12" s="9" t="s">
        <v>255</v>
      </c>
      <c r="D12" s="9" t="s">
        <v>253</v>
      </c>
      <c r="E12" s="9" t="s">
        <v>254</v>
      </c>
      <c r="F12" s="8" t="s">
        <v>258</v>
      </c>
      <c r="G12" s="9" t="s">
        <v>250</v>
      </c>
      <c r="H12" s="8" t="s">
        <v>259</v>
      </c>
      <c r="I12" s="7" t="s">
        <v>261</v>
      </c>
      <c r="J12" s="9" t="s">
        <v>133</v>
      </c>
      <c r="K12" s="7" t="s">
        <v>239</v>
      </c>
      <c r="L12" s="9" t="s">
        <v>238</v>
      </c>
      <c r="M12" s="5" t="s">
        <v>73</v>
      </c>
      <c r="N12" s="5" t="s">
        <v>75</v>
      </c>
      <c r="O12" s="9" t="s">
        <v>260</v>
      </c>
      <c r="P12" s="5" t="s">
        <v>74</v>
      </c>
    </row>
    <row r="13" spans="1:16" ht="72.5" x14ac:dyDescent="0.35">
      <c r="A13" s="9">
        <v>11</v>
      </c>
      <c r="B13" s="9">
        <v>11</v>
      </c>
      <c r="C13" s="9" t="s">
        <v>374</v>
      </c>
      <c r="D13" s="9" t="s">
        <v>378</v>
      </c>
      <c r="E13" s="9" t="s">
        <v>375</v>
      </c>
      <c r="F13" s="2" t="s">
        <v>379</v>
      </c>
      <c r="G13" s="9" t="s">
        <v>376</v>
      </c>
      <c r="H13" s="2" t="s">
        <v>383</v>
      </c>
      <c r="I13" s="3" t="s">
        <v>385</v>
      </c>
      <c r="J13" s="9" t="s">
        <v>133</v>
      </c>
      <c r="K13" s="7" t="s">
        <v>69</v>
      </c>
      <c r="L13" s="9" t="s">
        <v>238</v>
      </c>
      <c r="M13" s="5" t="s">
        <v>377</v>
      </c>
      <c r="O13" s="9" t="s">
        <v>38</v>
      </c>
    </row>
    <row r="14" spans="1:16" ht="43.5" x14ac:dyDescent="0.35">
      <c r="A14" s="9">
        <v>12</v>
      </c>
      <c r="B14" s="9">
        <v>12</v>
      </c>
      <c r="C14" s="9" t="s">
        <v>381</v>
      </c>
      <c r="D14" s="9" t="s">
        <v>380</v>
      </c>
      <c r="E14" s="9" t="s">
        <v>382</v>
      </c>
      <c r="F14" s="2" t="s">
        <v>430</v>
      </c>
      <c r="G14" s="9" t="s">
        <v>91</v>
      </c>
      <c r="H14" s="2" t="s">
        <v>384</v>
      </c>
      <c r="I14" s="3" t="s">
        <v>400</v>
      </c>
      <c r="J14" s="9" t="s">
        <v>133</v>
      </c>
      <c r="K14" s="7" t="s">
        <v>386</v>
      </c>
      <c r="L14" s="9" t="s">
        <v>238</v>
      </c>
      <c r="M14" s="5" t="s">
        <v>377</v>
      </c>
      <c r="O14" s="9" t="s">
        <v>387</v>
      </c>
    </row>
    <row r="15" spans="1:16" ht="29" x14ac:dyDescent="0.35">
      <c r="A15" s="9">
        <v>13</v>
      </c>
      <c r="B15" s="9">
        <v>13</v>
      </c>
      <c r="C15" s="9" t="s">
        <v>388</v>
      </c>
      <c r="D15" s="9" t="s">
        <v>389</v>
      </c>
      <c r="E15" s="9" t="s">
        <v>382</v>
      </c>
      <c r="F15" s="2" t="s">
        <v>393</v>
      </c>
      <c r="G15" s="9" t="s">
        <v>91</v>
      </c>
      <c r="H15" s="2" t="s">
        <v>390</v>
      </c>
      <c r="I15" s="3" t="s">
        <v>399</v>
      </c>
      <c r="J15" s="9" t="s">
        <v>70</v>
      </c>
      <c r="K15" s="7" t="s">
        <v>391</v>
      </c>
      <c r="L15" s="9" t="s">
        <v>238</v>
      </c>
      <c r="M15" s="5" t="s">
        <v>322</v>
      </c>
      <c r="O15" s="9" t="s">
        <v>392</v>
      </c>
    </row>
    <row r="16" spans="1:16" ht="43.5" x14ac:dyDescent="0.35">
      <c r="A16" s="9">
        <v>14</v>
      </c>
      <c r="B16" s="9">
        <v>14</v>
      </c>
      <c r="C16" s="9" t="s">
        <v>394</v>
      </c>
      <c r="D16" s="9" t="s">
        <v>395</v>
      </c>
      <c r="E16" s="9" t="s">
        <v>397</v>
      </c>
      <c r="F16" s="2" t="s">
        <v>396</v>
      </c>
      <c r="G16" s="9" t="s">
        <v>91</v>
      </c>
      <c r="H16" s="2" t="s">
        <v>398</v>
      </c>
      <c r="I16" s="3" t="s">
        <v>401</v>
      </c>
      <c r="J16" s="9" t="s">
        <v>70</v>
      </c>
      <c r="K16" s="7" t="s">
        <v>239</v>
      </c>
      <c r="L16" s="9" t="s">
        <v>402</v>
      </c>
      <c r="M16" s="5" t="s">
        <v>377</v>
      </c>
      <c r="O16" s="9" t="s">
        <v>403</v>
      </c>
    </row>
    <row r="17" spans="1:15" ht="58" x14ac:dyDescent="0.35">
      <c r="A17" s="9">
        <v>15</v>
      </c>
      <c r="B17" s="9">
        <v>15</v>
      </c>
      <c r="C17" s="9" t="s">
        <v>404</v>
      </c>
      <c r="D17" s="9" t="s">
        <v>409</v>
      </c>
      <c r="E17" s="9" t="s">
        <v>405</v>
      </c>
      <c r="F17" s="2" t="s">
        <v>410</v>
      </c>
      <c r="G17" s="9" t="s">
        <v>91</v>
      </c>
      <c r="H17" s="2" t="s">
        <v>406</v>
      </c>
      <c r="I17" s="3" t="s">
        <v>407</v>
      </c>
      <c r="J17" s="9" t="s">
        <v>295</v>
      </c>
      <c r="K17" s="7" t="s">
        <v>408</v>
      </c>
      <c r="L17" s="9" t="s">
        <v>238</v>
      </c>
      <c r="M17" s="5" t="s">
        <v>322</v>
      </c>
      <c r="O17" s="9" t="s">
        <v>392</v>
      </c>
    </row>
    <row r="18" spans="1:15" ht="43.5" x14ac:dyDescent="0.35">
      <c r="A18" s="9">
        <v>16</v>
      </c>
      <c r="B18" s="9">
        <v>16</v>
      </c>
      <c r="C18" s="9" t="s">
        <v>411</v>
      </c>
      <c r="D18" s="9" t="s">
        <v>412</v>
      </c>
      <c r="E18" s="9" t="s">
        <v>413</v>
      </c>
      <c r="F18" s="2" t="s">
        <v>414</v>
      </c>
      <c r="G18" s="9" t="s">
        <v>91</v>
      </c>
      <c r="H18" s="2" t="s">
        <v>415</v>
      </c>
      <c r="I18" s="3" t="s">
        <v>416</v>
      </c>
      <c r="J18" s="9" t="s">
        <v>70</v>
      </c>
      <c r="K18" s="7" t="s">
        <v>408</v>
      </c>
      <c r="L18" s="9" t="s">
        <v>238</v>
      </c>
      <c r="M18" s="5" t="s">
        <v>377</v>
      </c>
      <c r="O18" s="9" t="s">
        <v>392</v>
      </c>
    </row>
    <row r="19" spans="1:15" x14ac:dyDescent="0.35">
      <c r="B19" s="9"/>
      <c r="F19" s="2"/>
      <c r="H19" s="2"/>
      <c r="I19" s="3"/>
    </row>
    <row r="20" spans="1:15" x14ac:dyDescent="0.35">
      <c r="B20" s="9"/>
      <c r="F20" s="2"/>
      <c r="H20" s="2"/>
      <c r="I20" s="3"/>
    </row>
    <row r="21" spans="1:15" x14ac:dyDescent="0.35">
      <c r="B21" s="9"/>
      <c r="F21" s="2"/>
      <c r="I21" s="3"/>
    </row>
    <row r="22" spans="1:15" x14ac:dyDescent="0.35">
      <c r="B22" s="9"/>
      <c r="F22" s="2"/>
      <c r="I22" s="3"/>
    </row>
    <row r="23" spans="1:15" x14ac:dyDescent="0.35">
      <c r="B23" s="9"/>
      <c r="F23" s="2"/>
      <c r="N23" s="25"/>
    </row>
    <row r="24" spans="1:15" x14ac:dyDescent="0.35">
      <c r="B24" s="9"/>
      <c r="F24" s="2"/>
    </row>
    <row r="25" spans="1:15" x14ac:dyDescent="0.35">
      <c r="B25" s="9"/>
      <c r="F25" s="2"/>
    </row>
    <row r="26" spans="1:15" x14ac:dyDescent="0.35">
      <c r="B26" s="9"/>
    </row>
    <row r="27" spans="1:15" x14ac:dyDescent="0.35">
      <c r="B27" s="9"/>
    </row>
    <row r="28" spans="1:15" x14ac:dyDescent="0.35">
      <c r="B28" s="9"/>
    </row>
    <row r="29" spans="1:15" x14ac:dyDescent="0.35">
      <c r="B29" s="9"/>
    </row>
    <row r="30" spans="1:15" x14ac:dyDescent="0.35">
      <c r="B30" s="9"/>
    </row>
    <row r="31" spans="1:15" x14ac:dyDescent="0.35">
      <c r="B31" s="9"/>
    </row>
    <row r="32" spans="1:15" x14ac:dyDescent="0.35">
      <c r="B32" s="9"/>
    </row>
    <row r="33" spans="2:2" x14ac:dyDescent="0.35">
      <c r="B33" s="9"/>
    </row>
    <row r="34" spans="2:2" x14ac:dyDescent="0.35">
      <c r="B34" s="9"/>
    </row>
    <row r="35" spans="2:2" x14ac:dyDescent="0.35">
      <c r="B35" s="9"/>
    </row>
    <row r="36" spans="2:2" x14ac:dyDescent="0.35">
      <c r="B36" s="9"/>
    </row>
    <row r="37" spans="2:2" x14ac:dyDescent="0.35">
      <c r="B37" s="9"/>
    </row>
    <row r="38" spans="2:2" x14ac:dyDescent="0.35">
      <c r="B38" s="9"/>
    </row>
    <row r="39" spans="2:2" x14ac:dyDescent="0.35">
      <c r="B39" s="9"/>
    </row>
    <row r="40" spans="2:2" x14ac:dyDescent="0.35">
      <c r="B40" s="9"/>
    </row>
    <row r="41" spans="2:2" x14ac:dyDescent="0.35">
      <c r="B41" s="9"/>
    </row>
    <row r="42" spans="2:2" x14ac:dyDescent="0.35">
      <c r="B42" s="9"/>
    </row>
    <row r="43" spans="2:2" x14ac:dyDescent="0.35">
      <c r="B43" s="9"/>
    </row>
    <row r="44" spans="2:2" x14ac:dyDescent="0.35">
      <c r="B44" s="9"/>
    </row>
    <row r="45" spans="2:2" x14ac:dyDescent="0.35">
      <c r="B45" s="9"/>
    </row>
    <row r="46" spans="2:2" x14ac:dyDescent="0.35">
      <c r="B46" s="9"/>
    </row>
    <row r="47" spans="2:2" x14ac:dyDescent="0.35">
      <c r="B47" s="9"/>
    </row>
    <row r="48" spans="2:2" x14ac:dyDescent="0.35">
      <c r="B48" s="9"/>
    </row>
    <row r="49" spans="2:2" x14ac:dyDescent="0.35">
      <c r="B49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A8AF-97B1-4BAE-BA56-FF4AAB7B8C3B}">
  <dimension ref="A1:P27"/>
  <sheetViews>
    <sheetView tabSelected="1" topLeftCell="A5" zoomScale="88" workbookViewId="0">
      <selection activeCell="C9" sqref="C9"/>
    </sheetView>
  </sheetViews>
  <sheetFormatPr defaultRowHeight="14.5" x14ac:dyDescent="0.35"/>
  <cols>
    <col min="1" max="1" width="10.36328125" customWidth="1"/>
    <col min="2" max="2" width="19.1796875" customWidth="1"/>
    <col min="3" max="3" width="16.08984375" customWidth="1"/>
    <col min="4" max="4" width="24.6328125" customWidth="1"/>
    <col min="5" max="5" width="14" customWidth="1"/>
    <col min="6" max="6" width="13.54296875" customWidth="1"/>
    <col min="7" max="7" width="14.1796875" customWidth="1"/>
    <col min="8" max="8" width="16.1796875" customWidth="1"/>
    <col min="9" max="9" width="23.6328125" customWidth="1"/>
    <col min="10" max="10" width="14.6328125" customWidth="1"/>
    <col min="11" max="11" width="21.90625" customWidth="1"/>
    <col min="12" max="12" width="27.453125" customWidth="1"/>
    <col min="13" max="13" width="20.1796875" customWidth="1"/>
    <col min="14" max="14" width="22.6328125" customWidth="1"/>
    <col min="15" max="15" width="16.1796875" customWidth="1"/>
    <col min="16" max="16" width="15.08984375" customWidth="1"/>
  </cols>
  <sheetData>
    <row r="1" spans="1:16" x14ac:dyDescent="0.35">
      <c r="A1" s="16" t="s">
        <v>107</v>
      </c>
      <c r="B1" s="16" t="s">
        <v>45</v>
      </c>
      <c r="C1" s="16" t="s">
        <v>48</v>
      </c>
      <c r="D1" s="16" t="s">
        <v>1</v>
      </c>
      <c r="E1" s="16" t="s">
        <v>267</v>
      </c>
      <c r="F1" s="16" t="s">
        <v>268</v>
      </c>
      <c r="G1" s="16" t="s">
        <v>2</v>
      </c>
      <c r="H1" s="16" t="s">
        <v>4</v>
      </c>
      <c r="I1" s="16" t="s">
        <v>269</v>
      </c>
      <c r="J1" s="16" t="s">
        <v>47</v>
      </c>
      <c r="K1" s="49" t="s">
        <v>502</v>
      </c>
      <c r="L1" s="49" t="s">
        <v>46</v>
      </c>
      <c r="M1" s="50" t="s">
        <v>508</v>
      </c>
      <c r="N1" s="49" t="s">
        <v>334</v>
      </c>
      <c r="O1" s="52" t="s">
        <v>347</v>
      </c>
      <c r="P1" s="49" t="s">
        <v>348</v>
      </c>
    </row>
    <row r="2" spans="1:16" ht="58" x14ac:dyDescent="0.35">
      <c r="A2" s="12" t="s">
        <v>125</v>
      </c>
      <c r="B2" s="12" t="s">
        <v>53</v>
      </c>
      <c r="C2" s="12" t="s">
        <v>270</v>
      </c>
      <c r="D2" s="12" t="s">
        <v>309</v>
      </c>
      <c r="E2" s="12" t="s">
        <v>70</v>
      </c>
      <c r="F2" s="12" t="s">
        <v>271</v>
      </c>
      <c r="G2" s="12" t="s">
        <v>272</v>
      </c>
      <c r="H2" s="12" t="s">
        <v>273</v>
      </c>
      <c r="I2" s="12" t="s">
        <v>274</v>
      </c>
      <c r="J2" s="12" t="s">
        <v>79</v>
      </c>
      <c r="K2" s="9" t="s">
        <v>59</v>
      </c>
      <c r="L2" s="12" t="s">
        <v>338</v>
      </c>
      <c r="M2" s="8" t="s">
        <v>61</v>
      </c>
      <c r="N2" s="9" t="s">
        <v>328</v>
      </c>
      <c r="O2" s="51" t="s">
        <v>349</v>
      </c>
      <c r="P2" s="9" t="s">
        <v>351</v>
      </c>
    </row>
    <row r="3" spans="1:16" ht="72.5" x14ac:dyDescent="0.35">
      <c r="A3" s="12" t="s">
        <v>126</v>
      </c>
      <c r="B3" s="12" t="s">
        <v>54</v>
      </c>
      <c r="C3" s="12" t="s">
        <v>275</v>
      </c>
      <c r="D3" s="12" t="s">
        <v>500</v>
      </c>
      <c r="E3" s="12" t="s">
        <v>70</v>
      </c>
      <c r="F3" s="12" t="s">
        <v>271</v>
      </c>
      <c r="G3" s="12" t="s">
        <v>272</v>
      </c>
      <c r="H3" s="12" t="s">
        <v>273</v>
      </c>
      <c r="I3" s="12" t="s">
        <v>324</v>
      </c>
      <c r="J3" s="12" t="s">
        <v>79</v>
      </c>
      <c r="K3" s="9" t="s">
        <v>59</v>
      </c>
      <c r="L3" s="12" t="s">
        <v>339</v>
      </c>
      <c r="M3" s="8" t="s">
        <v>61</v>
      </c>
      <c r="N3" s="9" t="s">
        <v>327</v>
      </c>
      <c r="O3" s="51" t="s">
        <v>349</v>
      </c>
      <c r="P3" s="9" t="s">
        <v>351</v>
      </c>
    </row>
    <row r="4" spans="1:16" ht="58" x14ac:dyDescent="0.35">
      <c r="A4" s="12" t="s">
        <v>127</v>
      </c>
      <c r="B4" s="12" t="s">
        <v>55</v>
      </c>
      <c r="C4" s="12" t="s">
        <v>276</v>
      </c>
      <c r="D4" s="12" t="s">
        <v>501</v>
      </c>
      <c r="E4" s="12" t="s">
        <v>70</v>
      </c>
      <c r="F4" s="12" t="s">
        <v>271</v>
      </c>
      <c r="G4" s="12" t="s">
        <v>277</v>
      </c>
      <c r="H4" s="12" t="s">
        <v>273</v>
      </c>
      <c r="I4" s="12" t="s">
        <v>274</v>
      </c>
      <c r="J4" s="12" t="s">
        <v>91</v>
      </c>
      <c r="K4" s="9" t="s">
        <v>59</v>
      </c>
      <c r="L4" s="12" t="s">
        <v>340</v>
      </c>
      <c r="M4" s="8" t="s">
        <v>61</v>
      </c>
      <c r="N4" s="9" t="s">
        <v>326</v>
      </c>
      <c r="O4" s="51" t="s">
        <v>349</v>
      </c>
      <c r="P4" s="9" t="s">
        <v>351</v>
      </c>
    </row>
    <row r="5" spans="1:16" ht="58" x14ac:dyDescent="0.35">
      <c r="A5" s="12" t="s">
        <v>174</v>
      </c>
      <c r="B5" s="12" t="s">
        <v>278</v>
      </c>
      <c r="C5" s="12" t="s">
        <v>279</v>
      </c>
      <c r="D5" s="12" t="s">
        <v>497</v>
      </c>
      <c r="E5" s="12" t="s">
        <v>134</v>
      </c>
      <c r="F5" s="12" t="s">
        <v>271</v>
      </c>
      <c r="G5" s="12" t="s">
        <v>280</v>
      </c>
      <c r="H5" s="12" t="s">
        <v>273</v>
      </c>
      <c r="I5" s="12" t="s">
        <v>281</v>
      </c>
      <c r="J5" s="12" t="s">
        <v>91</v>
      </c>
      <c r="K5" s="9" t="s">
        <v>89</v>
      </c>
      <c r="L5" s="12" t="s">
        <v>341</v>
      </c>
      <c r="M5" s="8" t="s">
        <v>92</v>
      </c>
      <c r="N5" s="9" t="s">
        <v>329</v>
      </c>
      <c r="O5" s="51" t="s">
        <v>350</v>
      </c>
      <c r="P5" s="12" t="s">
        <v>352</v>
      </c>
    </row>
    <row r="6" spans="1:16" ht="58" x14ac:dyDescent="0.35">
      <c r="A6" s="12" t="s">
        <v>180</v>
      </c>
      <c r="B6" s="12" t="s">
        <v>56</v>
      </c>
      <c r="C6" s="12" t="s">
        <v>276</v>
      </c>
      <c r="D6" s="12" t="s">
        <v>499</v>
      </c>
      <c r="E6" s="12" t="s">
        <v>70</v>
      </c>
      <c r="F6" s="12" t="s">
        <v>271</v>
      </c>
      <c r="G6" s="12" t="s">
        <v>272</v>
      </c>
      <c r="H6" s="12" t="s">
        <v>273</v>
      </c>
      <c r="I6" s="12" t="s">
        <v>324</v>
      </c>
      <c r="J6" s="12" t="s">
        <v>79</v>
      </c>
      <c r="K6" s="9" t="s">
        <v>76</v>
      </c>
      <c r="L6" s="12" t="s">
        <v>342</v>
      </c>
      <c r="M6" s="8" t="s">
        <v>77</v>
      </c>
      <c r="N6" s="12" t="s">
        <v>330</v>
      </c>
      <c r="O6" s="55" t="s">
        <v>353</v>
      </c>
      <c r="P6" s="9" t="s">
        <v>354</v>
      </c>
    </row>
    <row r="7" spans="1:16" ht="58" x14ac:dyDescent="0.35">
      <c r="A7" s="12" t="s">
        <v>185</v>
      </c>
      <c r="B7" s="12" t="s">
        <v>57</v>
      </c>
      <c r="C7" s="12" t="s">
        <v>276</v>
      </c>
      <c r="D7" s="12" t="s">
        <v>503</v>
      </c>
      <c r="E7" s="12" t="s">
        <v>70</v>
      </c>
      <c r="F7" s="12" t="s">
        <v>271</v>
      </c>
      <c r="G7" s="12" t="s">
        <v>282</v>
      </c>
      <c r="H7" s="12" t="s">
        <v>273</v>
      </c>
      <c r="I7" s="12" t="s">
        <v>324</v>
      </c>
      <c r="J7" s="12" t="s">
        <v>91</v>
      </c>
      <c r="K7" s="12" t="s">
        <v>94</v>
      </c>
      <c r="L7" s="12" t="s">
        <v>339</v>
      </c>
      <c r="M7" s="14" t="s">
        <v>95</v>
      </c>
      <c r="N7" s="9" t="s">
        <v>331</v>
      </c>
      <c r="O7" s="55" t="s">
        <v>355</v>
      </c>
      <c r="P7" s="9" t="s">
        <v>357</v>
      </c>
    </row>
    <row r="8" spans="1:16" ht="43.5" x14ac:dyDescent="0.35">
      <c r="A8" s="12" t="s">
        <v>283</v>
      </c>
      <c r="B8" s="12" t="s">
        <v>241</v>
      </c>
      <c r="C8" s="12" t="s">
        <v>284</v>
      </c>
      <c r="D8" s="12" t="s">
        <v>310</v>
      </c>
      <c r="E8" s="12" t="s">
        <v>70</v>
      </c>
      <c r="F8" s="12" t="s">
        <v>285</v>
      </c>
      <c r="G8" s="12" t="s">
        <v>272</v>
      </c>
      <c r="H8" s="12" t="s">
        <v>273</v>
      </c>
      <c r="I8" s="12" t="s">
        <v>325</v>
      </c>
      <c r="J8" s="12" t="s">
        <v>91</v>
      </c>
      <c r="K8" s="9" t="s">
        <v>236</v>
      </c>
      <c r="L8" s="12" t="s">
        <v>343</v>
      </c>
      <c r="M8" s="14" t="s">
        <v>256</v>
      </c>
      <c r="N8" s="9" t="s">
        <v>332</v>
      </c>
      <c r="O8" s="55" t="s">
        <v>356</v>
      </c>
      <c r="P8" s="9" t="s">
        <v>358</v>
      </c>
    </row>
    <row r="9" spans="1:16" ht="43.5" x14ac:dyDescent="0.35">
      <c r="A9" s="12" t="s">
        <v>286</v>
      </c>
      <c r="B9" s="12" t="s">
        <v>243</v>
      </c>
      <c r="C9" s="12" t="s">
        <v>509</v>
      </c>
      <c r="D9" s="12" t="s">
        <v>311</v>
      </c>
      <c r="E9" s="12" t="s">
        <v>70</v>
      </c>
      <c r="F9" s="12" t="s">
        <v>285</v>
      </c>
      <c r="G9" s="12" t="s">
        <v>280</v>
      </c>
      <c r="H9" s="12" t="s">
        <v>273</v>
      </c>
      <c r="I9" s="12" t="s">
        <v>281</v>
      </c>
      <c r="J9" s="12" t="s">
        <v>79</v>
      </c>
      <c r="K9" s="9" t="s">
        <v>236</v>
      </c>
      <c r="L9" s="12" t="s">
        <v>344</v>
      </c>
      <c r="M9" s="8" t="s">
        <v>257</v>
      </c>
      <c r="N9" s="9" t="s">
        <v>333</v>
      </c>
      <c r="O9" s="55" t="s">
        <v>356</v>
      </c>
      <c r="P9" s="9" t="s">
        <v>358</v>
      </c>
    </row>
    <row r="10" spans="1:16" ht="58" x14ac:dyDescent="0.35">
      <c r="A10" s="12" t="s">
        <v>287</v>
      </c>
      <c r="B10" s="12" t="s">
        <v>244</v>
      </c>
      <c r="C10" s="12" t="s">
        <v>284</v>
      </c>
      <c r="D10" s="12" t="s">
        <v>312</v>
      </c>
      <c r="E10" s="12" t="s">
        <v>70</v>
      </c>
      <c r="F10" s="12" t="s">
        <v>285</v>
      </c>
      <c r="G10" s="12" t="s">
        <v>272</v>
      </c>
      <c r="H10" s="12" t="s">
        <v>273</v>
      </c>
      <c r="I10" s="12" t="s">
        <v>281</v>
      </c>
      <c r="J10" s="12" t="s">
        <v>79</v>
      </c>
      <c r="K10" s="9" t="s">
        <v>236</v>
      </c>
      <c r="L10" s="12" t="s">
        <v>345</v>
      </c>
      <c r="M10" s="8" t="s">
        <v>257</v>
      </c>
      <c r="N10" s="9" t="s">
        <v>335</v>
      </c>
      <c r="O10" s="55" t="s">
        <v>356</v>
      </c>
      <c r="P10" s="9" t="s">
        <v>358</v>
      </c>
    </row>
    <row r="11" spans="1:16" ht="58" x14ac:dyDescent="0.35">
      <c r="A11" s="12" t="s">
        <v>288</v>
      </c>
      <c r="B11" s="12" t="s">
        <v>255</v>
      </c>
      <c r="C11" s="12" t="s">
        <v>289</v>
      </c>
      <c r="D11" s="12" t="s">
        <v>313</v>
      </c>
      <c r="E11" s="12" t="s">
        <v>70</v>
      </c>
      <c r="F11" s="12" t="s">
        <v>285</v>
      </c>
      <c r="G11" s="12" t="s">
        <v>272</v>
      </c>
      <c r="H11" s="12" t="s">
        <v>273</v>
      </c>
      <c r="I11" s="12" t="s">
        <v>281</v>
      </c>
      <c r="J11" s="12" t="s">
        <v>79</v>
      </c>
      <c r="K11" s="9" t="s">
        <v>253</v>
      </c>
      <c r="L11" s="12" t="s">
        <v>346</v>
      </c>
      <c r="M11" s="8" t="s">
        <v>258</v>
      </c>
      <c r="N11" s="9" t="s">
        <v>336</v>
      </c>
      <c r="O11" s="55" t="s">
        <v>485</v>
      </c>
      <c r="P11" s="9" t="s">
        <v>486</v>
      </c>
    </row>
    <row r="12" spans="1:16" ht="43.5" x14ac:dyDescent="0.35">
      <c r="A12" s="12" t="s">
        <v>417</v>
      </c>
      <c r="B12" s="9" t="s">
        <v>374</v>
      </c>
      <c r="C12" s="14" t="s">
        <v>383</v>
      </c>
      <c r="D12" s="12" t="s">
        <v>385</v>
      </c>
      <c r="E12" s="12" t="s">
        <v>133</v>
      </c>
      <c r="F12" s="12" t="s">
        <v>69</v>
      </c>
      <c r="G12" s="9" t="s">
        <v>238</v>
      </c>
      <c r="H12" s="12" t="s">
        <v>423</v>
      </c>
      <c r="I12" s="9" t="s">
        <v>38</v>
      </c>
      <c r="J12" s="9" t="s">
        <v>263</v>
      </c>
      <c r="K12" s="12" t="s">
        <v>378</v>
      </c>
      <c r="L12" s="12" t="s">
        <v>439</v>
      </c>
      <c r="M12" s="8" t="s">
        <v>379</v>
      </c>
      <c r="N12" s="12" t="s">
        <v>428</v>
      </c>
      <c r="O12" s="55" t="s">
        <v>441</v>
      </c>
      <c r="P12" s="9" t="s">
        <v>442</v>
      </c>
    </row>
    <row r="13" spans="1:16" ht="43.5" x14ac:dyDescent="0.35">
      <c r="A13" s="12" t="s">
        <v>418</v>
      </c>
      <c r="B13" s="9" t="s">
        <v>381</v>
      </c>
      <c r="C13" s="14" t="s">
        <v>384</v>
      </c>
      <c r="D13" s="12" t="s">
        <v>400</v>
      </c>
      <c r="E13" s="12" t="s">
        <v>133</v>
      </c>
      <c r="F13" s="12" t="s">
        <v>386</v>
      </c>
      <c r="G13" s="9" t="s">
        <v>238</v>
      </c>
      <c r="H13" s="12" t="s">
        <v>423</v>
      </c>
      <c r="I13" s="9" t="s">
        <v>387</v>
      </c>
      <c r="J13" s="9" t="s">
        <v>91</v>
      </c>
      <c r="K13" s="12" t="s">
        <v>380</v>
      </c>
      <c r="L13" s="12" t="s">
        <v>440</v>
      </c>
      <c r="M13" s="8" t="s">
        <v>430</v>
      </c>
      <c r="N13" s="12" t="s">
        <v>429</v>
      </c>
      <c r="O13" s="55" t="s">
        <v>444</v>
      </c>
      <c r="P13" s="9" t="s">
        <v>443</v>
      </c>
    </row>
    <row r="14" spans="1:16" ht="58" x14ac:dyDescent="0.35">
      <c r="A14" s="12" t="s">
        <v>419</v>
      </c>
      <c r="B14" s="9" t="s">
        <v>388</v>
      </c>
      <c r="C14" s="14" t="s">
        <v>390</v>
      </c>
      <c r="D14" s="12" t="s">
        <v>498</v>
      </c>
      <c r="E14" s="12" t="s">
        <v>134</v>
      </c>
      <c r="F14" s="12" t="s">
        <v>391</v>
      </c>
      <c r="G14" s="9" t="s">
        <v>488</v>
      </c>
      <c r="H14" s="12" t="s">
        <v>322</v>
      </c>
      <c r="I14" s="9" t="s">
        <v>392</v>
      </c>
      <c r="J14" s="9" t="s">
        <v>91</v>
      </c>
      <c r="K14" s="12" t="s">
        <v>389</v>
      </c>
      <c r="L14" s="12" t="s">
        <v>435</v>
      </c>
      <c r="M14" s="8" t="s">
        <v>393</v>
      </c>
      <c r="N14" s="12" t="s">
        <v>434</v>
      </c>
      <c r="O14" s="55" t="s">
        <v>445</v>
      </c>
      <c r="P14" s="9" t="s">
        <v>447</v>
      </c>
    </row>
    <row r="15" spans="1:16" ht="58" x14ac:dyDescent="0.35">
      <c r="A15" s="12" t="s">
        <v>420</v>
      </c>
      <c r="B15" s="9" t="s">
        <v>394</v>
      </c>
      <c r="C15" s="14" t="s">
        <v>398</v>
      </c>
      <c r="D15" s="12" t="s">
        <v>401</v>
      </c>
      <c r="E15" s="12" t="s">
        <v>70</v>
      </c>
      <c r="F15" s="12" t="s">
        <v>239</v>
      </c>
      <c r="G15" s="9" t="s">
        <v>402</v>
      </c>
      <c r="H15" s="12" t="s">
        <v>423</v>
      </c>
      <c r="I15" s="9" t="s">
        <v>403</v>
      </c>
      <c r="J15" s="9" t="s">
        <v>91</v>
      </c>
      <c r="K15" s="12" t="s">
        <v>395</v>
      </c>
      <c r="L15" s="12" t="s">
        <v>436</v>
      </c>
      <c r="M15" s="8" t="s">
        <v>396</v>
      </c>
      <c r="N15" s="12" t="s">
        <v>431</v>
      </c>
      <c r="O15" s="55" t="s">
        <v>449</v>
      </c>
      <c r="P15" s="9" t="s">
        <v>451</v>
      </c>
    </row>
    <row r="16" spans="1:16" ht="58" x14ac:dyDescent="0.35">
      <c r="A16" s="12" t="s">
        <v>421</v>
      </c>
      <c r="B16" s="9" t="s">
        <v>404</v>
      </c>
      <c r="C16" s="14" t="s">
        <v>406</v>
      </c>
      <c r="D16" s="12" t="s">
        <v>407</v>
      </c>
      <c r="E16" s="12" t="s">
        <v>295</v>
      </c>
      <c r="F16" s="12" t="s">
        <v>408</v>
      </c>
      <c r="G16" s="9" t="s">
        <v>238</v>
      </c>
      <c r="H16" s="12" t="s">
        <v>322</v>
      </c>
      <c r="I16" s="9" t="s">
        <v>392</v>
      </c>
      <c r="J16" s="9" t="s">
        <v>91</v>
      </c>
      <c r="K16" s="12" t="s">
        <v>409</v>
      </c>
      <c r="L16" s="12" t="s">
        <v>437</v>
      </c>
      <c r="M16" s="8" t="s">
        <v>410</v>
      </c>
      <c r="N16" s="12" t="s">
        <v>432</v>
      </c>
      <c r="O16" s="51" t="s">
        <v>450</v>
      </c>
      <c r="P16" s="9" t="s">
        <v>452</v>
      </c>
    </row>
    <row r="17" spans="1:16" ht="43.5" x14ac:dyDescent="0.35">
      <c r="A17" s="12" t="s">
        <v>422</v>
      </c>
      <c r="B17" s="9" t="s">
        <v>411</v>
      </c>
      <c r="C17" s="14" t="s">
        <v>415</v>
      </c>
      <c r="D17" s="12" t="s">
        <v>416</v>
      </c>
      <c r="E17" s="12" t="s">
        <v>70</v>
      </c>
      <c r="F17" s="12" t="s">
        <v>408</v>
      </c>
      <c r="G17" s="9" t="s">
        <v>238</v>
      </c>
      <c r="H17" s="12" t="s">
        <v>423</v>
      </c>
      <c r="I17" s="9" t="s">
        <v>392</v>
      </c>
      <c r="J17" s="9" t="s">
        <v>91</v>
      </c>
      <c r="K17" s="12" t="s">
        <v>412</v>
      </c>
      <c r="L17" s="12" t="s">
        <v>438</v>
      </c>
      <c r="M17" s="8" t="s">
        <v>414</v>
      </c>
      <c r="N17" s="12" t="s">
        <v>433</v>
      </c>
      <c r="O17" s="55" t="s">
        <v>446</v>
      </c>
      <c r="P17" s="9" t="s">
        <v>448</v>
      </c>
    </row>
    <row r="27" spans="1:16" x14ac:dyDescent="0.35">
      <c r="B27" t="s">
        <v>337</v>
      </c>
    </row>
  </sheetData>
  <phoneticPr fontId="1" type="noConversion"/>
  <hyperlinks>
    <hyperlink ref="O2" r:id="rId1" xr:uid="{D0907E47-F8EE-4C98-9944-3210996E5205}"/>
    <hyperlink ref="O5" r:id="rId2" xr:uid="{BDFBAA4A-09F4-4426-9FF6-A0AE48535576}"/>
    <hyperlink ref="O3:O4" r:id="rId3" display="olan@gmail.com" xr:uid="{D8066F60-9269-42EF-B779-7E29D464EB51}"/>
    <hyperlink ref="O6" r:id="rId4" xr:uid="{7ED541D3-0F7E-45A6-948F-E91A966F9807}"/>
    <hyperlink ref="O7" r:id="rId5" xr:uid="{3F4CACE1-AD4D-43F7-AE75-7F378F157EBE}"/>
    <hyperlink ref="O8" r:id="rId6" xr:uid="{144C646B-B91D-4F2D-8966-01C6A42935E8}"/>
    <hyperlink ref="O9:O10" r:id="rId7" display="maya@gmail.com" xr:uid="{302D3A2C-30BD-4800-881D-9E989EF1BB41}"/>
    <hyperlink ref="O11" r:id="rId8" xr:uid="{CDCD1859-4DBE-4027-AFD7-3813A08B3ED0}"/>
    <hyperlink ref="O12" r:id="rId9" xr:uid="{B176C9B2-1574-4224-BBBB-DC1A70645E17}"/>
    <hyperlink ref="O13" r:id="rId10" xr:uid="{3F637AE8-3F6E-4A23-98AE-2944DC84EA80}"/>
    <hyperlink ref="O14" r:id="rId11" xr:uid="{ED40F7AC-F56D-4F76-9CA5-B06E0A57545C}"/>
    <hyperlink ref="O15" r:id="rId12" xr:uid="{75A9D93E-3270-4D37-8A2C-8A5DA211CE41}"/>
    <hyperlink ref="O16" r:id="rId13" xr:uid="{5A37EA6B-7B79-40BB-9625-DBAB192FAB8E}"/>
    <hyperlink ref="O17" r:id="rId14" xr:uid="{2E3528FF-B440-4D74-86CC-A8DE3280A7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1C62-8752-4999-BB16-F79297149C3E}">
  <dimension ref="A1:AB189"/>
  <sheetViews>
    <sheetView zoomScale="104" zoomScaleNormal="79" workbookViewId="0">
      <selection activeCell="F84" sqref="F84"/>
    </sheetView>
  </sheetViews>
  <sheetFormatPr defaultRowHeight="14.5" x14ac:dyDescent="0.35"/>
  <cols>
    <col min="1" max="1" width="19.6328125" customWidth="1"/>
    <col min="2" max="2" width="18.81640625" customWidth="1"/>
    <col min="3" max="4" width="10.1796875" customWidth="1"/>
    <col min="5" max="5" width="20.453125" customWidth="1"/>
    <col min="6" max="6" width="11" bestFit="1" customWidth="1"/>
    <col min="7" max="7" width="27.453125" customWidth="1"/>
    <col min="8" max="8" width="10.54296875" customWidth="1"/>
    <col min="9" max="9" width="11.08984375" customWidth="1"/>
    <col min="10" max="10" width="14.453125" customWidth="1"/>
    <col min="11" max="11" width="15.81640625" customWidth="1"/>
    <col min="12" max="12" width="13" customWidth="1"/>
    <col min="13" max="13" width="11.453125" customWidth="1"/>
    <col min="15" max="15" width="20.1796875" customWidth="1"/>
    <col min="19" max="19" width="17.453125" customWidth="1"/>
  </cols>
  <sheetData>
    <row r="1" spans="1:16" x14ac:dyDescent="0.35">
      <c r="A1" t="s">
        <v>109</v>
      </c>
      <c r="F1" t="s">
        <v>123</v>
      </c>
    </row>
    <row r="2" spans="1:16" ht="15" thickBot="1" x14ac:dyDescent="0.4">
      <c r="A2" s="9" t="s">
        <v>110</v>
      </c>
      <c r="B2" s="9" t="s">
        <v>128</v>
      </c>
    </row>
    <row r="3" spans="1:16" ht="16" thickBot="1" x14ac:dyDescent="0.4">
      <c r="A3" s="9" t="s">
        <v>17</v>
      </c>
      <c r="B3" s="28" t="s">
        <v>27</v>
      </c>
      <c r="F3" t="s">
        <v>17</v>
      </c>
      <c r="G3" t="s">
        <v>27</v>
      </c>
      <c r="J3" t="s">
        <v>20</v>
      </c>
      <c r="K3" t="s">
        <v>3</v>
      </c>
      <c r="N3" t="s">
        <v>23</v>
      </c>
      <c r="O3" t="s">
        <v>47</v>
      </c>
    </row>
    <row r="4" spans="1:16" ht="16" thickBot="1" x14ac:dyDescent="0.4">
      <c r="A4" s="9" t="s">
        <v>18</v>
      </c>
      <c r="B4" s="29" t="s">
        <v>1</v>
      </c>
      <c r="G4" t="s">
        <v>26</v>
      </c>
      <c r="H4" t="s">
        <v>11</v>
      </c>
      <c r="K4" t="s">
        <v>26</v>
      </c>
      <c r="L4" t="s">
        <v>11</v>
      </c>
      <c r="O4" t="s">
        <v>26</v>
      </c>
      <c r="P4" t="s">
        <v>11</v>
      </c>
    </row>
    <row r="5" spans="1:16" ht="16" thickBot="1" x14ac:dyDescent="0.4">
      <c r="A5" s="9" t="s">
        <v>19</v>
      </c>
      <c r="B5" s="29" t="s">
        <v>2</v>
      </c>
      <c r="G5" s="45" t="s">
        <v>459</v>
      </c>
      <c r="H5">
        <v>1</v>
      </c>
      <c r="K5" t="s">
        <v>320</v>
      </c>
      <c r="L5">
        <v>1</v>
      </c>
      <c r="O5" t="s">
        <v>263</v>
      </c>
      <c r="P5">
        <v>1</v>
      </c>
    </row>
    <row r="6" spans="1:16" ht="31.5" thickBot="1" x14ac:dyDescent="0.4">
      <c r="A6" s="9" t="s">
        <v>20</v>
      </c>
      <c r="B6" s="29" t="s">
        <v>3</v>
      </c>
      <c r="G6" s="53" t="s">
        <v>129</v>
      </c>
      <c r="H6">
        <v>2</v>
      </c>
      <c r="K6" t="s">
        <v>319</v>
      </c>
      <c r="L6">
        <v>2</v>
      </c>
      <c r="O6" t="s">
        <v>264</v>
      </c>
      <c r="P6">
        <v>2</v>
      </c>
    </row>
    <row r="7" spans="1:16" ht="31.5" thickBot="1" x14ac:dyDescent="0.4">
      <c r="A7" s="9" t="s">
        <v>21</v>
      </c>
      <c r="B7" s="29" t="s">
        <v>4</v>
      </c>
      <c r="G7" s="53" t="s">
        <v>130</v>
      </c>
      <c r="H7">
        <v>3</v>
      </c>
      <c r="K7" t="s">
        <v>321</v>
      </c>
      <c r="L7">
        <v>3</v>
      </c>
    </row>
    <row r="8" spans="1:16" ht="31.5" thickBot="1" x14ac:dyDescent="0.4">
      <c r="A8" s="9" t="s">
        <v>22</v>
      </c>
      <c r="B8" s="29" t="s">
        <v>290</v>
      </c>
      <c r="G8" s="53" t="s">
        <v>131</v>
      </c>
      <c r="H8">
        <v>4</v>
      </c>
      <c r="K8" t="s">
        <v>35</v>
      </c>
      <c r="L8">
        <v>4</v>
      </c>
    </row>
    <row r="9" spans="1:16" ht="16" thickBot="1" x14ac:dyDescent="0.4">
      <c r="A9" s="9" t="s">
        <v>23</v>
      </c>
      <c r="B9" s="29" t="s">
        <v>291</v>
      </c>
      <c r="G9" s="53" t="s">
        <v>372</v>
      </c>
      <c r="H9">
        <v>5</v>
      </c>
      <c r="K9" t="s">
        <v>34</v>
      </c>
      <c r="L9">
        <v>5</v>
      </c>
    </row>
    <row r="10" spans="1:16" ht="16" thickBot="1" x14ac:dyDescent="0.4">
      <c r="A10" s="9" t="s">
        <v>24</v>
      </c>
      <c r="B10" s="29" t="s">
        <v>33</v>
      </c>
    </row>
    <row r="11" spans="1:16" ht="31.5" thickBot="1" x14ac:dyDescent="0.4">
      <c r="A11" s="9" t="s">
        <v>25</v>
      </c>
      <c r="B11" s="29" t="s">
        <v>292</v>
      </c>
      <c r="F11" t="s">
        <v>18</v>
      </c>
      <c r="G11" s="1" t="s">
        <v>1</v>
      </c>
      <c r="J11" t="s">
        <v>21</v>
      </c>
      <c r="K11" t="s">
        <v>4</v>
      </c>
      <c r="N11" t="s">
        <v>24</v>
      </c>
      <c r="O11" t="s">
        <v>151</v>
      </c>
    </row>
    <row r="12" spans="1:16" ht="15" thickBot="1" x14ac:dyDescent="0.4">
      <c r="A12" s="9"/>
      <c r="B12" s="17"/>
      <c r="G12" t="s">
        <v>26</v>
      </c>
      <c r="H12" t="s">
        <v>11</v>
      </c>
      <c r="K12" t="s">
        <v>26</v>
      </c>
      <c r="L12" t="s">
        <v>11</v>
      </c>
      <c r="O12" t="s">
        <v>26</v>
      </c>
      <c r="P12" t="s">
        <v>11</v>
      </c>
    </row>
    <row r="13" spans="1:16" ht="15" thickBot="1" x14ac:dyDescent="0.4">
      <c r="B13" s="15"/>
      <c r="G13" t="s">
        <v>103</v>
      </c>
      <c r="H13">
        <v>1</v>
      </c>
      <c r="K13" t="s">
        <v>322</v>
      </c>
      <c r="L13">
        <v>1</v>
      </c>
      <c r="O13" s="46" t="s">
        <v>373</v>
      </c>
      <c r="P13">
        <v>1</v>
      </c>
    </row>
    <row r="14" spans="1:16" ht="29.5" thickBot="1" x14ac:dyDescent="0.4">
      <c r="B14" s="15"/>
      <c r="G14" t="s">
        <v>369</v>
      </c>
      <c r="H14">
        <v>2</v>
      </c>
      <c r="K14" s="3" t="s">
        <v>323</v>
      </c>
      <c r="L14">
        <v>2</v>
      </c>
      <c r="O14" s="47" t="s">
        <v>133</v>
      </c>
      <c r="P14">
        <v>2</v>
      </c>
    </row>
    <row r="15" spans="1:16" x14ac:dyDescent="0.35">
      <c r="A15" s="18" t="s">
        <v>108</v>
      </c>
      <c r="B15" s="15"/>
      <c r="G15" t="s">
        <v>370</v>
      </c>
      <c r="H15">
        <v>3</v>
      </c>
      <c r="O15" t="s">
        <v>266</v>
      </c>
      <c r="P15">
        <v>3</v>
      </c>
    </row>
    <row r="16" spans="1:16" x14ac:dyDescent="0.35">
      <c r="A16" s="9"/>
      <c r="B16" s="15"/>
      <c r="G16" t="s">
        <v>371</v>
      </c>
      <c r="H16">
        <v>4</v>
      </c>
    </row>
    <row r="17" spans="1:16" x14ac:dyDescent="0.35">
      <c r="A17" s="15" t="s">
        <v>110</v>
      </c>
      <c r="B17" s="15" t="s">
        <v>111</v>
      </c>
      <c r="C17" s="15" t="s">
        <v>11</v>
      </c>
      <c r="D17" s="15"/>
      <c r="G17" t="s">
        <v>314</v>
      </c>
      <c r="H17">
        <v>5</v>
      </c>
      <c r="K17" s="3"/>
    </row>
    <row r="18" spans="1:16" x14ac:dyDescent="0.35">
      <c r="A18" s="9" t="s">
        <v>17</v>
      </c>
      <c r="B18" s="15" t="s">
        <v>112</v>
      </c>
      <c r="C18" s="15">
        <v>0.31</v>
      </c>
      <c r="D18" s="27">
        <v>0.314</v>
      </c>
      <c r="E18">
        <v>0.31430000000000002</v>
      </c>
      <c r="N18" t="s">
        <v>25</v>
      </c>
      <c r="O18" t="s">
        <v>32</v>
      </c>
    </row>
    <row r="19" spans="1:16" x14ac:dyDescent="0.35">
      <c r="A19" s="9" t="s">
        <v>18</v>
      </c>
      <c r="B19" s="15" t="s">
        <v>113</v>
      </c>
      <c r="C19" s="15">
        <v>0.2</v>
      </c>
      <c r="D19" s="69">
        <v>0.20300000000000001</v>
      </c>
      <c r="E19">
        <v>0.20319999999999999</v>
      </c>
      <c r="O19" t="s">
        <v>26</v>
      </c>
      <c r="P19" t="s">
        <v>11</v>
      </c>
    </row>
    <row r="20" spans="1:16" x14ac:dyDescent="0.35">
      <c r="A20" s="9" t="s">
        <v>19</v>
      </c>
      <c r="B20" s="15" t="s">
        <v>114</v>
      </c>
      <c r="C20" s="15">
        <v>0.15</v>
      </c>
      <c r="D20" s="27">
        <v>0.14799999999999999</v>
      </c>
      <c r="E20">
        <v>0.1477</v>
      </c>
      <c r="O20" t="s">
        <v>427</v>
      </c>
      <c r="P20">
        <v>1</v>
      </c>
    </row>
    <row r="21" spans="1:16" x14ac:dyDescent="0.35">
      <c r="A21" s="9" t="s">
        <v>20</v>
      </c>
      <c r="B21" s="15" t="s">
        <v>115</v>
      </c>
      <c r="C21" s="15">
        <v>0.11</v>
      </c>
      <c r="D21" s="27">
        <v>0.111</v>
      </c>
      <c r="E21">
        <v>0.1106</v>
      </c>
      <c r="F21" t="s">
        <v>19</v>
      </c>
      <c r="G21" t="s">
        <v>2</v>
      </c>
      <c r="J21" t="s">
        <v>22</v>
      </c>
      <c r="K21" t="s">
        <v>5</v>
      </c>
      <c r="O21" t="s">
        <v>265</v>
      </c>
      <c r="P21">
        <v>2</v>
      </c>
    </row>
    <row r="22" spans="1:16" x14ac:dyDescent="0.35">
      <c r="A22" s="9" t="s">
        <v>21</v>
      </c>
      <c r="B22" s="15" t="s">
        <v>116</v>
      </c>
      <c r="C22" s="15">
        <v>0.08</v>
      </c>
      <c r="D22" s="27">
        <v>8.3000000000000004E-2</v>
      </c>
      <c r="E22">
        <v>8.2799999999999999E-2</v>
      </c>
      <c r="G22" t="s">
        <v>30</v>
      </c>
      <c r="H22" t="s">
        <v>11</v>
      </c>
      <c r="K22" t="s">
        <v>26</v>
      </c>
      <c r="L22" t="s">
        <v>11</v>
      </c>
      <c r="O22" t="s">
        <v>266</v>
      </c>
      <c r="P22">
        <v>3</v>
      </c>
    </row>
    <row r="23" spans="1:16" x14ac:dyDescent="0.35">
      <c r="A23" s="9" t="s">
        <v>22</v>
      </c>
      <c r="B23" s="15" t="s">
        <v>117</v>
      </c>
      <c r="C23" s="15">
        <v>0.06</v>
      </c>
      <c r="D23" s="27">
        <v>6.0999999999999999E-2</v>
      </c>
      <c r="E23">
        <v>6.0600000000000001E-2</v>
      </c>
      <c r="G23" t="s">
        <v>315</v>
      </c>
      <c r="H23">
        <v>1</v>
      </c>
      <c r="K23" s="54">
        <v>0.875</v>
      </c>
      <c r="L23">
        <v>1</v>
      </c>
    </row>
    <row r="24" spans="1:16" x14ac:dyDescent="0.35">
      <c r="A24" s="9" t="s">
        <v>23</v>
      </c>
      <c r="B24" s="15" t="s">
        <v>118</v>
      </c>
      <c r="C24" s="15">
        <v>0.04</v>
      </c>
      <c r="D24" s="27">
        <v>4.2000000000000003E-2</v>
      </c>
      <c r="E24">
        <v>4.2099999999999999E-2</v>
      </c>
      <c r="G24" t="s">
        <v>316</v>
      </c>
      <c r="H24">
        <v>2</v>
      </c>
      <c r="K24" s="54">
        <v>0.91666666666666663</v>
      </c>
      <c r="L24">
        <v>2</v>
      </c>
    </row>
    <row r="25" spans="1:16" x14ac:dyDescent="0.35">
      <c r="A25" s="9" t="s">
        <v>24</v>
      </c>
      <c r="B25" s="15" t="s">
        <v>119</v>
      </c>
      <c r="C25" s="15">
        <v>0.03</v>
      </c>
      <c r="D25" s="27">
        <v>2.5999999999999999E-2</v>
      </c>
      <c r="E25">
        <v>2.6200000000000001E-2</v>
      </c>
      <c r="G25" t="s">
        <v>317</v>
      </c>
      <c r="H25">
        <v>3</v>
      </c>
      <c r="K25" s="54">
        <v>0.95833333333333337</v>
      </c>
      <c r="L25">
        <v>3</v>
      </c>
    </row>
    <row r="26" spans="1:16" x14ac:dyDescent="0.35">
      <c r="A26" s="9" t="s">
        <v>25</v>
      </c>
      <c r="B26" s="15" t="s">
        <v>120</v>
      </c>
      <c r="C26" s="15">
        <v>0.01</v>
      </c>
      <c r="D26" s="27">
        <v>1.2E-2</v>
      </c>
      <c r="E26">
        <v>1.23E-2</v>
      </c>
      <c r="G26" t="s">
        <v>318</v>
      </c>
      <c r="H26">
        <v>4</v>
      </c>
      <c r="K26" s="58">
        <v>1</v>
      </c>
      <c r="L26">
        <v>4</v>
      </c>
    </row>
    <row r="27" spans="1:16" x14ac:dyDescent="0.35">
      <c r="A27" s="9"/>
      <c r="B27" s="15"/>
      <c r="C27" s="15">
        <f>SUM(C18:C26)</f>
        <v>0.99</v>
      </c>
      <c r="D27" s="27">
        <f>SUM(D18:D26)</f>
        <v>1</v>
      </c>
      <c r="E27">
        <f>SUM(E18:E26)</f>
        <v>0.99980000000000002</v>
      </c>
      <c r="G27" t="s">
        <v>460</v>
      </c>
      <c r="H27">
        <v>5</v>
      </c>
      <c r="K27" t="s">
        <v>303</v>
      </c>
      <c r="L27">
        <v>5</v>
      </c>
    </row>
    <row r="28" spans="1:16" ht="29" x14ac:dyDescent="0.35">
      <c r="A28" s="4"/>
      <c r="B28" s="4"/>
      <c r="C28" s="42" t="s">
        <v>307</v>
      </c>
      <c r="D28" s="43" t="s">
        <v>308</v>
      </c>
      <c r="E28" t="s">
        <v>475</v>
      </c>
    </row>
    <row r="30" spans="1:16" x14ac:dyDescent="0.35">
      <c r="A30" s="18" t="s">
        <v>121</v>
      </c>
    </row>
    <row r="32" spans="1:16" ht="15" thickBot="1" x14ac:dyDescent="0.4">
      <c r="A32" s="15" t="s">
        <v>110</v>
      </c>
      <c r="B32" s="9" t="s">
        <v>122</v>
      </c>
    </row>
    <row r="33" spans="1:13" ht="16" thickBot="1" x14ac:dyDescent="0.4">
      <c r="A33" s="9" t="s">
        <v>17</v>
      </c>
      <c r="B33" s="30" t="s">
        <v>28</v>
      </c>
    </row>
    <row r="34" spans="1:13" ht="16" thickBot="1" x14ac:dyDescent="0.4">
      <c r="A34" s="9" t="s">
        <v>18</v>
      </c>
      <c r="B34" s="31" t="s">
        <v>29</v>
      </c>
      <c r="E34" t="s">
        <v>1</v>
      </c>
    </row>
    <row r="35" spans="1:13" ht="16" thickBot="1" x14ac:dyDescent="0.4">
      <c r="A35" s="9" t="s">
        <v>19</v>
      </c>
      <c r="B35" s="31" t="s">
        <v>29</v>
      </c>
      <c r="E35" t="s">
        <v>99</v>
      </c>
    </row>
    <row r="36" spans="1:13" ht="16" thickBot="1" x14ac:dyDescent="0.4">
      <c r="A36" s="9" t="s">
        <v>20</v>
      </c>
      <c r="B36" s="31" t="s">
        <v>29</v>
      </c>
      <c r="E36" t="s">
        <v>39</v>
      </c>
    </row>
    <row r="37" spans="1:13" ht="16" thickBot="1" x14ac:dyDescent="0.4">
      <c r="A37" s="9" t="s">
        <v>21</v>
      </c>
      <c r="B37" s="31" t="s">
        <v>29</v>
      </c>
      <c r="E37" t="s">
        <v>40</v>
      </c>
    </row>
    <row r="38" spans="1:13" ht="16" thickBot="1" x14ac:dyDescent="0.4">
      <c r="A38" s="9" t="s">
        <v>22</v>
      </c>
      <c r="B38" s="31" t="s">
        <v>28</v>
      </c>
      <c r="E38" t="s">
        <v>41</v>
      </c>
    </row>
    <row r="39" spans="1:13" ht="16" thickBot="1" x14ac:dyDescent="0.4">
      <c r="A39" s="9" t="s">
        <v>23</v>
      </c>
      <c r="B39" s="31" t="s">
        <v>29</v>
      </c>
      <c r="E39" t="s">
        <v>42</v>
      </c>
    </row>
    <row r="40" spans="1:13" ht="16" thickBot="1" x14ac:dyDescent="0.4">
      <c r="A40" s="9" t="s">
        <v>24</v>
      </c>
      <c r="B40" s="31" t="s">
        <v>29</v>
      </c>
      <c r="E40" t="s">
        <v>43</v>
      </c>
    </row>
    <row r="41" spans="1:13" ht="16" thickBot="1" x14ac:dyDescent="0.4">
      <c r="A41" s="9" t="s">
        <v>25</v>
      </c>
      <c r="B41" s="32" t="s">
        <v>29</v>
      </c>
      <c r="E41" t="s">
        <v>149</v>
      </c>
    </row>
    <row r="42" spans="1:13" x14ac:dyDescent="0.35">
      <c r="A42" s="9"/>
      <c r="B42" s="9"/>
      <c r="E42" t="s">
        <v>100</v>
      </c>
    </row>
    <row r="43" spans="1:13" x14ac:dyDescent="0.35">
      <c r="E43" t="s">
        <v>101</v>
      </c>
    </row>
    <row r="44" spans="1:13" x14ac:dyDescent="0.35">
      <c r="E44" t="s">
        <v>102</v>
      </c>
    </row>
    <row r="46" spans="1:13" x14ac:dyDescent="0.35">
      <c r="A46" s="9" t="s">
        <v>124</v>
      </c>
    </row>
    <row r="47" spans="1:13" ht="15" thickBot="1" x14ac:dyDescent="0.4">
      <c r="A47" s="18"/>
    </row>
    <row r="48" spans="1:13" ht="15" thickBot="1" x14ac:dyDescent="0.4">
      <c r="A48" s="33" t="s">
        <v>107</v>
      </c>
      <c r="B48" s="34" t="s">
        <v>128</v>
      </c>
      <c r="C48" s="34" t="s">
        <v>17</v>
      </c>
      <c r="D48" s="34" t="s">
        <v>18</v>
      </c>
      <c r="E48" s="34" t="s">
        <v>19</v>
      </c>
      <c r="F48" s="34" t="s">
        <v>20</v>
      </c>
      <c r="G48" s="34" t="s">
        <v>21</v>
      </c>
      <c r="H48" s="34" t="s">
        <v>22</v>
      </c>
      <c r="I48" s="34" t="s">
        <v>23</v>
      </c>
      <c r="J48" s="34" t="s">
        <v>24</v>
      </c>
      <c r="K48" s="34" t="s">
        <v>25</v>
      </c>
      <c r="L48" s="16"/>
      <c r="M48" s="16"/>
    </row>
    <row r="49" spans="1:13" ht="15" thickBot="1" x14ac:dyDescent="0.4">
      <c r="A49" s="35" t="s">
        <v>125</v>
      </c>
      <c r="B49" s="36" t="s">
        <v>53</v>
      </c>
      <c r="C49" s="36">
        <v>800</v>
      </c>
      <c r="D49" s="36">
        <v>8</v>
      </c>
      <c r="E49" s="36" t="s">
        <v>293</v>
      </c>
      <c r="F49" s="36" t="s">
        <v>364</v>
      </c>
      <c r="G49" s="36" t="s">
        <v>294</v>
      </c>
      <c r="H49" s="44">
        <v>0.91666666666666663</v>
      </c>
      <c r="I49" s="36" t="s">
        <v>263</v>
      </c>
      <c r="J49" s="36" t="s">
        <v>133</v>
      </c>
      <c r="K49" s="36" t="s">
        <v>295</v>
      </c>
      <c r="L49" s="12"/>
      <c r="M49" s="12"/>
    </row>
    <row r="50" spans="1:13" ht="15" thickBot="1" x14ac:dyDescent="0.4">
      <c r="A50" s="35" t="s">
        <v>126</v>
      </c>
      <c r="B50" s="36" t="s">
        <v>54</v>
      </c>
      <c r="C50" s="36" t="s">
        <v>106</v>
      </c>
      <c r="D50" s="36">
        <v>9</v>
      </c>
      <c r="E50" s="36" t="s">
        <v>293</v>
      </c>
      <c r="F50" s="36" t="s">
        <v>365</v>
      </c>
      <c r="G50" s="36" t="s">
        <v>294</v>
      </c>
      <c r="H50" s="36" t="s">
        <v>296</v>
      </c>
      <c r="I50" s="36" t="s">
        <v>263</v>
      </c>
      <c r="J50" s="36" t="s">
        <v>133</v>
      </c>
      <c r="K50" s="36" t="s">
        <v>295</v>
      </c>
      <c r="L50" s="12"/>
      <c r="M50" s="12"/>
    </row>
    <row r="51" spans="1:13" ht="15" thickBot="1" x14ac:dyDescent="0.4">
      <c r="A51" s="35" t="s">
        <v>127</v>
      </c>
      <c r="B51" s="36" t="s">
        <v>55</v>
      </c>
      <c r="C51" s="36" t="s">
        <v>297</v>
      </c>
      <c r="D51" s="36">
        <v>9</v>
      </c>
      <c r="E51" s="36" t="s">
        <v>298</v>
      </c>
      <c r="F51" s="36" t="s">
        <v>362</v>
      </c>
      <c r="G51" s="36" t="s">
        <v>294</v>
      </c>
      <c r="H51" s="44">
        <v>0.91666666666666663</v>
      </c>
      <c r="I51" s="36" t="s">
        <v>368</v>
      </c>
      <c r="J51" s="36" t="s">
        <v>133</v>
      </c>
      <c r="K51" s="36" t="s">
        <v>295</v>
      </c>
      <c r="L51" s="12"/>
      <c r="M51" s="12"/>
    </row>
    <row r="52" spans="1:13" ht="15" thickBot="1" x14ac:dyDescent="0.4">
      <c r="A52" s="35" t="s">
        <v>174</v>
      </c>
      <c r="B52" s="36" t="s">
        <v>278</v>
      </c>
      <c r="C52" s="36">
        <v>667.66700000000003</v>
      </c>
      <c r="D52" s="36">
        <v>4</v>
      </c>
      <c r="E52" s="36" t="s">
        <v>298</v>
      </c>
      <c r="F52" s="36" t="s">
        <v>366</v>
      </c>
      <c r="G52" s="36" t="s">
        <v>294</v>
      </c>
      <c r="H52" s="36" t="s">
        <v>296</v>
      </c>
      <c r="I52" s="36" t="s">
        <v>91</v>
      </c>
      <c r="J52" s="36" t="s">
        <v>299</v>
      </c>
      <c r="K52" s="36" t="s">
        <v>295</v>
      </c>
    </row>
    <row r="53" spans="1:13" ht="15" thickBot="1" x14ac:dyDescent="0.4">
      <c r="A53" s="35" t="s">
        <v>180</v>
      </c>
      <c r="B53" s="36" t="s">
        <v>56</v>
      </c>
      <c r="C53" s="36" t="s">
        <v>297</v>
      </c>
      <c r="D53" s="36">
        <v>6</v>
      </c>
      <c r="E53" s="36" t="s">
        <v>293</v>
      </c>
      <c r="F53" s="36" t="s">
        <v>367</v>
      </c>
      <c r="G53" s="36" t="s">
        <v>300</v>
      </c>
      <c r="H53" s="36" t="s">
        <v>296</v>
      </c>
      <c r="I53" s="36" t="s">
        <v>79</v>
      </c>
      <c r="J53" s="36" t="s">
        <v>133</v>
      </c>
      <c r="K53" s="36" t="s">
        <v>295</v>
      </c>
    </row>
    <row r="54" spans="1:13" ht="15" thickBot="1" x14ac:dyDescent="0.4">
      <c r="A54" s="35" t="s">
        <v>185</v>
      </c>
      <c r="B54" s="36" t="s">
        <v>301</v>
      </c>
      <c r="C54" s="36" t="s">
        <v>297</v>
      </c>
      <c r="D54" s="36">
        <v>7</v>
      </c>
      <c r="E54" s="36" t="s">
        <v>293</v>
      </c>
      <c r="F54" s="36" t="s">
        <v>363</v>
      </c>
      <c r="G54" s="36" t="s">
        <v>294</v>
      </c>
      <c r="H54" s="36" t="s">
        <v>296</v>
      </c>
      <c r="I54" s="36" t="s">
        <v>91</v>
      </c>
      <c r="J54" s="36" t="s">
        <v>133</v>
      </c>
      <c r="K54" s="36" t="s">
        <v>295</v>
      </c>
    </row>
    <row r="55" spans="1:13" ht="15" thickBot="1" x14ac:dyDescent="0.4">
      <c r="A55" s="35" t="s">
        <v>283</v>
      </c>
      <c r="B55" s="36" t="s">
        <v>241</v>
      </c>
      <c r="C55" s="36" t="s">
        <v>302</v>
      </c>
      <c r="D55" s="36">
        <v>5</v>
      </c>
      <c r="E55" s="36" t="s">
        <v>293</v>
      </c>
      <c r="F55" s="36" t="s">
        <v>360</v>
      </c>
      <c r="G55" s="36" t="s">
        <v>294</v>
      </c>
      <c r="H55" s="36" t="s">
        <v>303</v>
      </c>
      <c r="I55" s="36" t="s">
        <v>91</v>
      </c>
      <c r="J55" s="36" t="s">
        <v>133</v>
      </c>
      <c r="K55" s="36" t="s">
        <v>285</v>
      </c>
    </row>
    <row r="56" spans="1:13" ht="15" thickBot="1" x14ac:dyDescent="0.4">
      <c r="A56" s="35" t="s">
        <v>286</v>
      </c>
      <c r="B56" s="36" t="s">
        <v>243</v>
      </c>
      <c r="C56" s="36">
        <v>541.66700000000003</v>
      </c>
      <c r="D56" s="36">
        <v>2</v>
      </c>
      <c r="E56" s="36" t="s">
        <v>298</v>
      </c>
      <c r="F56" s="36" t="s">
        <v>359</v>
      </c>
      <c r="G56" s="36" t="s">
        <v>294</v>
      </c>
      <c r="H56" s="36" t="s">
        <v>296</v>
      </c>
      <c r="I56" s="36" t="s">
        <v>79</v>
      </c>
      <c r="J56" s="36" t="s">
        <v>133</v>
      </c>
      <c r="K56" s="36" t="s">
        <v>285</v>
      </c>
      <c r="L56" s="9"/>
      <c r="M56" s="9"/>
    </row>
    <row r="57" spans="1:13" ht="15" thickBot="1" x14ac:dyDescent="0.4">
      <c r="A57" s="35" t="s">
        <v>287</v>
      </c>
      <c r="B57" s="36" t="s">
        <v>244</v>
      </c>
      <c r="C57" s="36" t="s">
        <v>302</v>
      </c>
      <c r="D57" s="36">
        <v>6</v>
      </c>
      <c r="E57" s="36" t="s">
        <v>293</v>
      </c>
      <c r="F57" s="36" t="s">
        <v>361</v>
      </c>
      <c r="G57" s="36" t="s">
        <v>294</v>
      </c>
      <c r="H57" s="36" t="s">
        <v>304</v>
      </c>
      <c r="I57" s="36" t="s">
        <v>79</v>
      </c>
      <c r="J57" s="36" t="s">
        <v>133</v>
      </c>
      <c r="K57" s="36" t="s">
        <v>285</v>
      </c>
      <c r="L57" s="12"/>
      <c r="M57" s="12"/>
    </row>
    <row r="58" spans="1:13" ht="15" thickBot="1" x14ac:dyDescent="0.4">
      <c r="A58" s="35" t="s">
        <v>288</v>
      </c>
      <c r="B58" s="36" t="s">
        <v>255</v>
      </c>
      <c r="C58" s="36">
        <v>600</v>
      </c>
      <c r="D58" s="36">
        <v>3</v>
      </c>
      <c r="E58" s="36" t="s">
        <v>293</v>
      </c>
      <c r="F58" s="36" t="s">
        <v>362</v>
      </c>
      <c r="G58" s="36" t="s">
        <v>294</v>
      </c>
      <c r="H58" s="36" t="s">
        <v>296</v>
      </c>
      <c r="I58" s="36" t="s">
        <v>305</v>
      </c>
      <c r="J58" s="36" t="s">
        <v>133</v>
      </c>
      <c r="K58" s="36" t="s">
        <v>285</v>
      </c>
      <c r="L58" s="12"/>
      <c r="M58" s="12"/>
    </row>
    <row r="59" spans="1:13" ht="15" thickBot="1" x14ac:dyDescent="0.4">
      <c r="A59" s="35" t="s">
        <v>417</v>
      </c>
      <c r="B59" s="37" t="s">
        <v>374</v>
      </c>
      <c r="C59" s="37">
        <v>750</v>
      </c>
      <c r="D59" s="37">
        <v>6</v>
      </c>
      <c r="E59" s="36" t="s">
        <v>293</v>
      </c>
      <c r="F59" s="37" t="s">
        <v>453</v>
      </c>
      <c r="G59" s="36" t="s">
        <v>294</v>
      </c>
      <c r="H59" s="56">
        <v>0.91666666666666663</v>
      </c>
      <c r="I59" s="36" t="s">
        <v>263</v>
      </c>
      <c r="J59" s="36" t="s">
        <v>133</v>
      </c>
      <c r="K59" s="36" t="s">
        <v>295</v>
      </c>
      <c r="L59" s="12"/>
      <c r="M59" s="12"/>
    </row>
    <row r="60" spans="1:13" ht="15" thickBot="1" x14ac:dyDescent="0.4">
      <c r="A60" s="35" t="s">
        <v>418</v>
      </c>
      <c r="B60" s="37" t="s">
        <v>381</v>
      </c>
      <c r="C60" s="37">
        <v>625</v>
      </c>
      <c r="D60" s="37">
        <v>5</v>
      </c>
      <c r="E60" s="36" t="s">
        <v>293</v>
      </c>
      <c r="F60" s="37" t="s">
        <v>454</v>
      </c>
      <c r="G60" s="36" t="s">
        <v>294</v>
      </c>
      <c r="H60" s="56">
        <v>0.95833333333333337</v>
      </c>
      <c r="I60" s="36" t="s">
        <v>91</v>
      </c>
      <c r="J60" s="36" t="s">
        <v>133</v>
      </c>
      <c r="K60" s="37" t="s">
        <v>427</v>
      </c>
      <c r="L60" s="12"/>
      <c r="M60" s="12"/>
    </row>
    <row r="61" spans="1:13" ht="21.5" thickBot="1" x14ac:dyDescent="0.4">
      <c r="A61" s="35" t="s">
        <v>419</v>
      </c>
      <c r="B61" s="37" t="s">
        <v>388</v>
      </c>
      <c r="C61" s="37">
        <v>708.33299999999997</v>
      </c>
      <c r="D61" s="37">
        <v>6</v>
      </c>
      <c r="E61" s="36" t="s">
        <v>293</v>
      </c>
      <c r="F61" s="37" t="s">
        <v>455</v>
      </c>
      <c r="G61" s="36" t="s">
        <v>294</v>
      </c>
      <c r="H61" s="37" t="s">
        <v>426</v>
      </c>
      <c r="I61" s="36" t="s">
        <v>91</v>
      </c>
      <c r="J61" s="36" t="s">
        <v>133</v>
      </c>
      <c r="K61" s="37" t="s">
        <v>427</v>
      </c>
      <c r="L61" s="12"/>
      <c r="M61" s="12"/>
    </row>
    <row r="62" spans="1:13" ht="15" thickBot="1" x14ac:dyDescent="0.4">
      <c r="A62" s="35" t="s">
        <v>420</v>
      </c>
      <c r="B62" s="37" t="s">
        <v>394</v>
      </c>
      <c r="C62" s="37">
        <v>583.33299999999997</v>
      </c>
      <c r="D62" s="37">
        <v>4</v>
      </c>
      <c r="E62" s="37" t="s">
        <v>425</v>
      </c>
      <c r="F62" s="37" t="s">
        <v>456</v>
      </c>
      <c r="G62" s="36" t="s">
        <v>294</v>
      </c>
      <c r="H62" s="37" t="s">
        <v>296</v>
      </c>
      <c r="I62" s="36" t="s">
        <v>91</v>
      </c>
      <c r="J62" s="36" t="s">
        <v>133</v>
      </c>
      <c r="K62" s="37" t="s">
        <v>285</v>
      </c>
      <c r="L62" s="12"/>
      <c r="M62" s="12"/>
    </row>
    <row r="63" spans="1:13" ht="21.5" thickBot="1" x14ac:dyDescent="0.4">
      <c r="A63" s="35" t="s">
        <v>421</v>
      </c>
      <c r="B63" s="37" t="s">
        <v>424</v>
      </c>
      <c r="C63" s="37">
        <v>730</v>
      </c>
      <c r="D63" s="37">
        <v>5</v>
      </c>
      <c r="E63" s="36" t="s">
        <v>293</v>
      </c>
      <c r="F63" s="37" t="s">
        <v>457</v>
      </c>
      <c r="G63" s="37" t="s">
        <v>322</v>
      </c>
      <c r="H63" s="37" t="s">
        <v>426</v>
      </c>
      <c r="I63" s="36" t="s">
        <v>91</v>
      </c>
      <c r="J63" s="36" t="s">
        <v>266</v>
      </c>
      <c r="K63" s="36" t="s">
        <v>295</v>
      </c>
      <c r="L63" s="12"/>
      <c r="M63" s="12"/>
    </row>
    <row r="64" spans="1:13" ht="21.5" thickBot="1" x14ac:dyDescent="0.4">
      <c r="A64" s="35" t="s">
        <v>422</v>
      </c>
      <c r="B64" s="37" t="s">
        <v>411</v>
      </c>
      <c r="C64" s="37">
        <v>666.66700000000003</v>
      </c>
      <c r="D64" s="37">
        <v>5</v>
      </c>
      <c r="E64" s="36" t="s">
        <v>293</v>
      </c>
      <c r="F64" s="37" t="s">
        <v>458</v>
      </c>
      <c r="G64" s="36" t="s">
        <v>294</v>
      </c>
      <c r="H64" s="37" t="s">
        <v>426</v>
      </c>
      <c r="I64" s="36" t="s">
        <v>91</v>
      </c>
      <c r="J64" s="36" t="s">
        <v>133</v>
      </c>
      <c r="K64" s="36" t="s">
        <v>295</v>
      </c>
      <c r="L64" s="12"/>
      <c r="M64" s="12"/>
    </row>
    <row r="66" spans="1:12" x14ac:dyDescent="0.35">
      <c r="A66" s="37" t="s">
        <v>306</v>
      </c>
    </row>
    <row r="67" spans="1:12" ht="15" thickBot="1" x14ac:dyDescent="0.4"/>
    <row r="68" spans="1:12" ht="15.5" thickBot="1" x14ac:dyDescent="0.4">
      <c r="A68" s="38" t="s">
        <v>136</v>
      </c>
      <c r="B68" s="39" t="s">
        <v>17</v>
      </c>
      <c r="C68" s="39" t="s">
        <v>18</v>
      </c>
      <c r="D68" s="39" t="s">
        <v>19</v>
      </c>
      <c r="E68" s="39" t="s">
        <v>20</v>
      </c>
      <c r="F68" s="39" t="s">
        <v>21</v>
      </c>
      <c r="G68" s="39" t="s">
        <v>22</v>
      </c>
      <c r="H68" s="39" t="s">
        <v>23</v>
      </c>
      <c r="I68" s="39" t="s">
        <v>24</v>
      </c>
      <c r="J68" s="39" t="s">
        <v>25</v>
      </c>
    </row>
    <row r="69" spans="1:12" ht="16" thickBot="1" x14ac:dyDescent="0.4">
      <c r="A69" s="40" t="s">
        <v>125</v>
      </c>
      <c r="B69" s="41">
        <v>1</v>
      </c>
      <c r="C69" s="41">
        <v>4</v>
      </c>
      <c r="D69" s="41">
        <v>3</v>
      </c>
      <c r="E69" s="41">
        <v>1</v>
      </c>
      <c r="F69" s="41">
        <v>2</v>
      </c>
      <c r="G69" s="41">
        <v>2</v>
      </c>
      <c r="H69" s="41">
        <v>1</v>
      </c>
      <c r="I69" s="41">
        <v>2</v>
      </c>
      <c r="J69" s="41">
        <v>3</v>
      </c>
    </row>
    <row r="70" spans="1:12" ht="16" thickBot="1" x14ac:dyDescent="0.4">
      <c r="A70" s="40" t="s">
        <v>126</v>
      </c>
      <c r="B70" s="41">
        <v>2</v>
      </c>
      <c r="C70" s="41">
        <v>5</v>
      </c>
      <c r="D70" s="41">
        <v>3</v>
      </c>
      <c r="E70" s="41">
        <v>1</v>
      </c>
      <c r="F70" s="41">
        <v>2</v>
      </c>
      <c r="G70" s="41">
        <v>5</v>
      </c>
      <c r="H70" s="41">
        <v>1</v>
      </c>
      <c r="I70" s="41">
        <v>2</v>
      </c>
      <c r="J70" s="41">
        <v>3</v>
      </c>
      <c r="L70" s="9"/>
    </row>
    <row r="71" spans="1:12" ht="16" thickBot="1" x14ac:dyDescent="0.4">
      <c r="A71" s="40" t="s">
        <v>127</v>
      </c>
      <c r="B71" s="41">
        <v>3</v>
      </c>
      <c r="C71" s="41">
        <v>5</v>
      </c>
      <c r="D71" s="41">
        <v>5</v>
      </c>
      <c r="E71" s="41">
        <v>1</v>
      </c>
      <c r="F71" s="41">
        <v>2</v>
      </c>
      <c r="G71" s="41">
        <v>2</v>
      </c>
      <c r="H71" s="41">
        <v>2</v>
      </c>
      <c r="I71" s="41">
        <v>2</v>
      </c>
      <c r="J71" s="41">
        <v>3</v>
      </c>
      <c r="L71" s="9"/>
    </row>
    <row r="72" spans="1:12" ht="16" thickBot="1" x14ac:dyDescent="0.4">
      <c r="A72" s="40" t="s">
        <v>174</v>
      </c>
      <c r="B72" s="41">
        <v>1</v>
      </c>
      <c r="C72" s="41">
        <v>2</v>
      </c>
      <c r="D72" s="41">
        <v>5</v>
      </c>
      <c r="E72" s="41">
        <v>1</v>
      </c>
      <c r="F72" s="41">
        <v>2</v>
      </c>
      <c r="G72" s="41">
        <v>5</v>
      </c>
      <c r="H72" s="41">
        <v>2</v>
      </c>
      <c r="I72" s="41">
        <v>1</v>
      </c>
      <c r="J72" s="41">
        <v>3</v>
      </c>
      <c r="K72" s="9"/>
      <c r="L72" s="9"/>
    </row>
    <row r="73" spans="1:12" ht="16" thickBot="1" x14ac:dyDescent="0.4">
      <c r="A73" s="40" t="s">
        <v>180</v>
      </c>
      <c r="B73" s="41">
        <v>3</v>
      </c>
      <c r="C73" s="41">
        <v>3</v>
      </c>
      <c r="D73" s="41">
        <v>3</v>
      </c>
      <c r="E73" s="41">
        <v>1</v>
      </c>
      <c r="F73" s="41">
        <v>2</v>
      </c>
      <c r="G73" s="41">
        <v>5</v>
      </c>
      <c r="H73" s="41">
        <v>1</v>
      </c>
      <c r="I73" s="41">
        <v>2</v>
      </c>
      <c r="J73" s="41">
        <v>3</v>
      </c>
      <c r="K73" s="9"/>
      <c r="L73" s="9"/>
    </row>
    <row r="74" spans="1:12" ht="16" thickBot="1" x14ac:dyDescent="0.4">
      <c r="A74" s="40" t="s">
        <v>185</v>
      </c>
      <c r="B74" s="41">
        <v>3</v>
      </c>
      <c r="C74" s="41">
        <v>4</v>
      </c>
      <c r="D74" s="41">
        <v>3</v>
      </c>
      <c r="E74" s="41">
        <v>1</v>
      </c>
      <c r="F74" s="41">
        <v>2</v>
      </c>
      <c r="G74" s="41">
        <v>5</v>
      </c>
      <c r="H74" s="41">
        <v>2</v>
      </c>
      <c r="I74" s="41">
        <v>2</v>
      </c>
      <c r="J74" s="41">
        <v>3</v>
      </c>
      <c r="K74" s="9"/>
      <c r="L74" s="9"/>
    </row>
    <row r="75" spans="1:12" ht="16" thickBot="1" x14ac:dyDescent="0.4">
      <c r="A75" s="40" t="s">
        <v>283</v>
      </c>
      <c r="B75" s="41">
        <v>2</v>
      </c>
      <c r="C75" s="41">
        <v>3</v>
      </c>
      <c r="D75" s="41">
        <v>3</v>
      </c>
      <c r="E75" s="41">
        <v>1</v>
      </c>
      <c r="F75" s="41">
        <v>2</v>
      </c>
      <c r="G75" s="41">
        <v>5</v>
      </c>
      <c r="H75" s="41">
        <v>2</v>
      </c>
      <c r="I75" s="41">
        <v>2</v>
      </c>
      <c r="J75" s="41">
        <v>2</v>
      </c>
      <c r="K75" s="9"/>
      <c r="L75" s="9"/>
    </row>
    <row r="76" spans="1:12" ht="16" thickBot="1" x14ac:dyDescent="0.4">
      <c r="A76" s="40" t="s">
        <v>286</v>
      </c>
      <c r="B76" s="41">
        <v>1</v>
      </c>
      <c r="C76" s="41">
        <v>1</v>
      </c>
      <c r="D76" s="41">
        <v>5</v>
      </c>
      <c r="E76" s="41">
        <v>2</v>
      </c>
      <c r="F76" s="41">
        <v>2</v>
      </c>
      <c r="G76" s="41">
        <v>5</v>
      </c>
      <c r="H76" s="41">
        <v>1</v>
      </c>
      <c r="I76" s="41">
        <v>2</v>
      </c>
      <c r="J76" s="41">
        <v>2</v>
      </c>
      <c r="K76" s="9"/>
      <c r="L76" s="9"/>
    </row>
    <row r="77" spans="1:12" ht="16" thickBot="1" x14ac:dyDescent="0.4">
      <c r="A77" s="40" t="s">
        <v>287</v>
      </c>
      <c r="B77" s="41">
        <v>2</v>
      </c>
      <c r="C77" s="41">
        <v>3</v>
      </c>
      <c r="D77" s="41">
        <v>3</v>
      </c>
      <c r="E77" s="41">
        <v>1</v>
      </c>
      <c r="F77" s="41">
        <v>2</v>
      </c>
      <c r="G77" s="41">
        <v>5</v>
      </c>
      <c r="H77" s="41">
        <v>1</v>
      </c>
      <c r="I77" s="41">
        <v>2</v>
      </c>
      <c r="J77" s="41">
        <v>2</v>
      </c>
      <c r="K77" s="9"/>
      <c r="L77" s="9"/>
    </row>
    <row r="78" spans="1:12" ht="16" thickBot="1" x14ac:dyDescent="0.4">
      <c r="A78" s="40" t="s">
        <v>288</v>
      </c>
      <c r="B78" s="41">
        <v>1</v>
      </c>
      <c r="C78" s="41">
        <v>2</v>
      </c>
      <c r="D78" s="41">
        <v>3</v>
      </c>
      <c r="E78" s="41">
        <v>1</v>
      </c>
      <c r="F78" s="41">
        <v>2</v>
      </c>
      <c r="G78" s="41">
        <v>5</v>
      </c>
      <c r="H78" s="41">
        <v>1</v>
      </c>
      <c r="I78" s="41">
        <v>2</v>
      </c>
      <c r="J78" s="41">
        <v>2</v>
      </c>
      <c r="K78" s="9"/>
      <c r="L78" s="9"/>
    </row>
    <row r="79" spans="1:12" ht="16" thickBot="1" x14ac:dyDescent="0.4">
      <c r="A79" s="40" t="s">
        <v>417</v>
      </c>
      <c r="B79" s="57">
        <v>1</v>
      </c>
      <c r="C79" s="57">
        <v>3</v>
      </c>
      <c r="D79" s="57">
        <v>3</v>
      </c>
      <c r="E79" s="57">
        <v>1</v>
      </c>
      <c r="F79" s="57">
        <v>2</v>
      </c>
      <c r="G79" s="57">
        <v>2</v>
      </c>
      <c r="H79" s="57">
        <v>1</v>
      </c>
      <c r="I79" s="57">
        <v>2</v>
      </c>
      <c r="J79" s="57">
        <v>3</v>
      </c>
      <c r="K79" s="9"/>
      <c r="L79" s="9"/>
    </row>
    <row r="80" spans="1:12" ht="16" thickBot="1" x14ac:dyDescent="0.4">
      <c r="A80" s="40" t="s">
        <v>418</v>
      </c>
      <c r="B80" s="57">
        <v>1</v>
      </c>
      <c r="C80" s="57">
        <v>3</v>
      </c>
      <c r="D80" s="57">
        <v>3</v>
      </c>
      <c r="E80" s="57">
        <v>1</v>
      </c>
      <c r="F80" s="57">
        <v>2</v>
      </c>
      <c r="G80" s="57">
        <v>3</v>
      </c>
      <c r="H80" s="57">
        <v>2</v>
      </c>
      <c r="I80" s="57">
        <v>2</v>
      </c>
      <c r="J80" s="57">
        <v>1</v>
      </c>
      <c r="K80" s="9"/>
      <c r="L80" s="9"/>
    </row>
    <row r="81" spans="1:12" ht="16" thickBot="1" x14ac:dyDescent="0.4">
      <c r="A81" s="40" t="s">
        <v>419</v>
      </c>
      <c r="B81" s="57">
        <v>1</v>
      </c>
      <c r="C81" s="57">
        <v>3</v>
      </c>
      <c r="D81" s="57">
        <v>3</v>
      </c>
      <c r="E81" s="57">
        <v>1</v>
      </c>
      <c r="F81" s="57">
        <v>2</v>
      </c>
      <c r="G81" s="57">
        <v>5</v>
      </c>
      <c r="H81" s="57">
        <v>2</v>
      </c>
      <c r="I81" s="57">
        <v>2</v>
      </c>
      <c r="J81" s="57">
        <v>1</v>
      </c>
      <c r="K81" s="9"/>
      <c r="L81" s="9"/>
    </row>
    <row r="82" spans="1:12" ht="16" thickBot="1" x14ac:dyDescent="0.4">
      <c r="A82" s="40" t="s">
        <v>420</v>
      </c>
      <c r="B82" s="57">
        <v>1</v>
      </c>
      <c r="C82" s="57">
        <v>2</v>
      </c>
      <c r="D82" s="57">
        <v>4</v>
      </c>
      <c r="E82" s="57">
        <v>1</v>
      </c>
      <c r="F82" s="57">
        <v>2</v>
      </c>
      <c r="G82" s="57">
        <v>5</v>
      </c>
      <c r="H82" s="57">
        <v>2</v>
      </c>
      <c r="I82" s="57">
        <v>2</v>
      </c>
      <c r="J82" s="57">
        <v>2</v>
      </c>
      <c r="K82" s="9"/>
      <c r="L82" s="9"/>
    </row>
    <row r="83" spans="1:12" ht="16" thickBot="1" x14ac:dyDescent="0.4">
      <c r="A83" s="40" t="s">
        <v>421</v>
      </c>
      <c r="B83" s="57">
        <v>1</v>
      </c>
      <c r="C83" s="57">
        <v>3</v>
      </c>
      <c r="D83" s="57">
        <v>3</v>
      </c>
      <c r="E83" s="57">
        <v>1</v>
      </c>
      <c r="F83" s="57">
        <v>1</v>
      </c>
      <c r="G83" s="57">
        <v>5</v>
      </c>
      <c r="H83" s="57">
        <v>2</v>
      </c>
      <c r="I83" s="57">
        <v>3</v>
      </c>
      <c r="J83" s="57">
        <v>3</v>
      </c>
      <c r="K83" s="9"/>
      <c r="L83" s="9"/>
    </row>
    <row r="84" spans="1:12" ht="16" thickBot="1" x14ac:dyDescent="0.4">
      <c r="A84" s="40" t="s">
        <v>422</v>
      </c>
      <c r="B84" s="57">
        <v>1</v>
      </c>
      <c r="C84" s="57">
        <v>3</v>
      </c>
      <c r="D84" s="57">
        <v>3</v>
      </c>
      <c r="E84" s="57">
        <v>1</v>
      </c>
      <c r="F84" s="57">
        <v>2</v>
      </c>
      <c r="G84" s="57">
        <v>5</v>
      </c>
      <c r="H84" s="57">
        <v>2</v>
      </c>
      <c r="I84" s="57">
        <v>2</v>
      </c>
      <c r="J84" s="57">
        <v>3</v>
      </c>
      <c r="K84" s="9"/>
      <c r="L84" s="9"/>
    </row>
    <row r="86" spans="1:12" x14ac:dyDescent="0.35">
      <c r="A86" s="18" t="s">
        <v>137</v>
      </c>
    </row>
    <row r="89" spans="1:12" x14ac:dyDescent="0.35">
      <c r="A89" t="s">
        <v>138</v>
      </c>
      <c r="F89" t="s">
        <v>139</v>
      </c>
      <c r="J89" t="s">
        <v>140</v>
      </c>
    </row>
    <row r="90" spans="1:12" x14ac:dyDescent="0.35">
      <c r="A90" t="s">
        <v>125</v>
      </c>
      <c r="B90" s="48">
        <f t="shared" ref="B90:B99" si="0">1/B69</f>
        <v>1</v>
      </c>
      <c r="F90" t="s">
        <v>125</v>
      </c>
      <c r="G90">
        <f t="shared" ref="G90:G99" si="1">C69/5</f>
        <v>0.8</v>
      </c>
      <c r="J90" t="s">
        <v>125</v>
      </c>
      <c r="K90">
        <f t="shared" ref="K90:K99" si="2">D69/5</f>
        <v>0.6</v>
      </c>
    </row>
    <row r="91" spans="1:12" x14ac:dyDescent="0.35">
      <c r="A91" t="s">
        <v>126</v>
      </c>
      <c r="B91" s="48">
        <f t="shared" si="0"/>
        <v>0.5</v>
      </c>
      <c r="F91" t="s">
        <v>126</v>
      </c>
      <c r="G91">
        <f t="shared" si="1"/>
        <v>1</v>
      </c>
      <c r="J91" t="s">
        <v>126</v>
      </c>
      <c r="K91">
        <f t="shared" si="2"/>
        <v>0.6</v>
      </c>
    </row>
    <row r="92" spans="1:12" x14ac:dyDescent="0.35">
      <c r="A92" t="s">
        <v>127</v>
      </c>
      <c r="B92" s="48">
        <f t="shared" si="0"/>
        <v>0.33333333333333331</v>
      </c>
      <c r="F92" t="s">
        <v>127</v>
      </c>
      <c r="G92">
        <f t="shared" si="1"/>
        <v>1</v>
      </c>
      <c r="J92" t="s">
        <v>127</v>
      </c>
      <c r="K92">
        <f t="shared" si="2"/>
        <v>1</v>
      </c>
    </row>
    <row r="93" spans="1:12" x14ac:dyDescent="0.35">
      <c r="A93" t="s">
        <v>174</v>
      </c>
      <c r="B93" s="48">
        <f t="shared" si="0"/>
        <v>1</v>
      </c>
      <c r="F93" t="s">
        <v>174</v>
      </c>
      <c r="G93">
        <f t="shared" si="1"/>
        <v>0.4</v>
      </c>
      <c r="J93" t="s">
        <v>174</v>
      </c>
      <c r="K93">
        <f t="shared" si="2"/>
        <v>1</v>
      </c>
    </row>
    <row r="94" spans="1:12" x14ac:dyDescent="0.35">
      <c r="A94" t="s">
        <v>180</v>
      </c>
      <c r="B94" s="48">
        <f t="shared" si="0"/>
        <v>0.33333333333333331</v>
      </c>
      <c r="F94" t="s">
        <v>180</v>
      </c>
      <c r="G94">
        <f t="shared" si="1"/>
        <v>0.6</v>
      </c>
      <c r="J94" t="s">
        <v>180</v>
      </c>
      <c r="K94">
        <f t="shared" si="2"/>
        <v>0.6</v>
      </c>
    </row>
    <row r="95" spans="1:12" x14ac:dyDescent="0.35">
      <c r="A95" t="s">
        <v>185</v>
      </c>
      <c r="B95" s="48">
        <f t="shared" si="0"/>
        <v>0.33333333333333331</v>
      </c>
      <c r="F95" t="s">
        <v>185</v>
      </c>
      <c r="G95">
        <f t="shared" si="1"/>
        <v>0.8</v>
      </c>
      <c r="J95" t="s">
        <v>185</v>
      </c>
      <c r="K95">
        <f t="shared" si="2"/>
        <v>0.6</v>
      </c>
    </row>
    <row r="96" spans="1:12" x14ac:dyDescent="0.35">
      <c r="A96" t="s">
        <v>283</v>
      </c>
      <c r="B96" s="48">
        <f t="shared" si="0"/>
        <v>0.5</v>
      </c>
      <c r="F96" t="s">
        <v>283</v>
      </c>
      <c r="G96">
        <f t="shared" si="1"/>
        <v>0.6</v>
      </c>
      <c r="J96" t="s">
        <v>283</v>
      </c>
      <c r="K96">
        <f t="shared" si="2"/>
        <v>0.6</v>
      </c>
    </row>
    <row r="97" spans="1:11" x14ac:dyDescent="0.35">
      <c r="A97" t="s">
        <v>286</v>
      </c>
      <c r="B97" s="48">
        <f>1/B76</f>
        <v>1</v>
      </c>
      <c r="F97" t="s">
        <v>286</v>
      </c>
      <c r="G97" s="48">
        <f>C76/5</f>
        <v>0.2</v>
      </c>
      <c r="J97" t="s">
        <v>286</v>
      </c>
      <c r="K97">
        <f>D76/5</f>
        <v>1</v>
      </c>
    </row>
    <row r="98" spans="1:11" x14ac:dyDescent="0.35">
      <c r="A98" t="s">
        <v>287</v>
      </c>
      <c r="B98" s="48">
        <f t="shared" si="0"/>
        <v>0.5</v>
      </c>
      <c r="F98" t="s">
        <v>287</v>
      </c>
      <c r="G98">
        <f t="shared" si="1"/>
        <v>0.6</v>
      </c>
      <c r="J98" t="s">
        <v>287</v>
      </c>
      <c r="K98">
        <f t="shared" si="2"/>
        <v>0.6</v>
      </c>
    </row>
    <row r="99" spans="1:11" x14ac:dyDescent="0.35">
      <c r="A99" t="s">
        <v>288</v>
      </c>
      <c r="B99" s="48">
        <f t="shared" si="0"/>
        <v>1</v>
      </c>
      <c r="F99" t="s">
        <v>288</v>
      </c>
      <c r="G99">
        <f t="shared" si="1"/>
        <v>0.4</v>
      </c>
      <c r="J99" t="s">
        <v>288</v>
      </c>
      <c r="K99">
        <f t="shared" si="2"/>
        <v>0.6</v>
      </c>
    </row>
    <row r="100" spans="1:11" x14ac:dyDescent="0.35">
      <c r="A100" t="s">
        <v>417</v>
      </c>
      <c r="B100" s="48">
        <f t="shared" ref="B100:B105" si="3">1/B79</f>
        <v>1</v>
      </c>
      <c r="F100" t="s">
        <v>417</v>
      </c>
      <c r="G100">
        <f t="shared" ref="G100:G105" si="4">C79/5</f>
        <v>0.6</v>
      </c>
      <c r="J100" t="s">
        <v>417</v>
      </c>
      <c r="K100">
        <f t="shared" ref="K100:K105" si="5">D79/5</f>
        <v>0.6</v>
      </c>
    </row>
    <row r="101" spans="1:11" x14ac:dyDescent="0.35">
      <c r="A101" t="s">
        <v>418</v>
      </c>
      <c r="B101" s="48">
        <f t="shared" si="3"/>
        <v>1</v>
      </c>
      <c r="F101" t="s">
        <v>418</v>
      </c>
      <c r="G101">
        <f t="shared" si="4"/>
        <v>0.6</v>
      </c>
      <c r="J101" t="s">
        <v>418</v>
      </c>
      <c r="K101">
        <f t="shared" si="5"/>
        <v>0.6</v>
      </c>
    </row>
    <row r="102" spans="1:11" x14ac:dyDescent="0.35">
      <c r="A102" t="s">
        <v>419</v>
      </c>
      <c r="B102" s="48">
        <f t="shared" si="3"/>
        <v>1</v>
      </c>
      <c r="F102" t="s">
        <v>419</v>
      </c>
      <c r="G102">
        <f t="shared" si="4"/>
        <v>0.6</v>
      </c>
      <c r="J102" t="s">
        <v>419</v>
      </c>
      <c r="K102">
        <f t="shared" si="5"/>
        <v>0.6</v>
      </c>
    </row>
    <row r="103" spans="1:11" x14ac:dyDescent="0.35">
      <c r="A103" t="s">
        <v>420</v>
      </c>
      <c r="B103" s="48">
        <f t="shared" si="3"/>
        <v>1</v>
      </c>
      <c r="F103" t="s">
        <v>420</v>
      </c>
      <c r="G103">
        <f>C82/5</f>
        <v>0.4</v>
      </c>
      <c r="J103" t="s">
        <v>420</v>
      </c>
      <c r="K103">
        <f t="shared" si="5"/>
        <v>0.8</v>
      </c>
    </row>
    <row r="104" spans="1:11" x14ac:dyDescent="0.35">
      <c r="A104" t="s">
        <v>421</v>
      </c>
      <c r="B104" s="48">
        <f t="shared" si="3"/>
        <v>1</v>
      </c>
      <c r="F104" t="s">
        <v>421</v>
      </c>
      <c r="G104">
        <f t="shared" si="4"/>
        <v>0.6</v>
      </c>
      <c r="J104" t="s">
        <v>421</v>
      </c>
      <c r="K104">
        <f t="shared" si="5"/>
        <v>0.6</v>
      </c>
    </row>
    <row r="105" spans="1:11" x14ac:dyDescent="0.35">
      <c r="A105" t="s">
        <v>422</v>
      </c>
      <c r="B105" s="48">
        <f t="shared" si="3"/>
        <v>1</v>
      </c>
      <c r="F105" t="s">
        <v>422</v>
      </c>
      <c r="G105">
        <f t="shared" si="4"/>
        <v>0.6</v>
      </c>
      <c r="J105" t="s">
        <v>422</v>
      </c>
      <c r="K105">
        <f t="shared" si="5"/>
        <v>0.6</v>
      </c>
    </row>
    <row r="107" spans="1:11" x14ac:dyDescent="0.35">
      <c r="A107" t="s">
        <v>221</v>
      </c>
      <c r="F107" t="s">
        <v>141</v>
      </c>
      <c r="J107" t="s">
        <v>142</v>
      </c>
    </row>
    <row r="108" spans="1:11" x14ac:dyDescent="0.35">
      <c r="A108" t="s">
        <v>125</v>
      </c>
      <c r="B108">
        <f t="shared" ref="B108:B123" si="6">E69/2</f>
        <v>0.5</v>
      </c>
      <c r="F108" t="s">
        <v>125</v>
      </c>
      <c r="G108">
        <f t="shared" ref="G108:G123" si="7">F69/2</f>
        <v>1</v>
      </c>
      <c r="J108" t="s">
        <v>125</v>
      </c>
      <c r="K108">
        <f t="shared" ref="K108:K117" si="8">2/G69</f>
        <v>1</v>
      </c>
    </row>
    <row r="109" spans="1:11" x14ac:dyDescent="0.35">
      <c r="A109" t="s">
        <v>126</v>
      </c>
      <c r="B109">
        <f t="shared" si="6"/>
        <v>0.5</v>
      </c>
      <c r="F109" t="s">
        <v>126</v>
      </c>
      <c r="G109">
        <f t="shared" si="7"/>
        <v>1</v>
      </c>
      <c r="J109" t="s">
        <v>126</v>
      </c>
      <c r="K109">
        <f t="shared" si="8"/>
        <v>0.4</v>
      </c>
    </row>
    <row r="110" spans="1:11" x14ac:dyDescent="0.35">
      <c r="A110" t="s">
        <v>127</v>
      </c>
      <c r="B110">
        <f t="shared" si="6"/>
        <v>0.5</v>
      </c>
      <c r="F110" t="s">
        <v>127</v>
      </c>
      <c r="G110">
        <f t="shared" si="7"/>
        <v>1</v>
      </c>
      <c r="J110" t="s">
        <v>127</v>
      </c>
      <c r="K110">
        <f t="shared" si="8"/>
        <v>1</v>
      </c>
    </row>
    <row r="111" spans="1:11" x14ac:dyDescent="0.35">
      <c r="A111" t="s">
        <v>174</v>
      </c>
      <c r="B111">
        <f t="shared" si="6"/>
        <v>0.5</v>
      </c>
      <c r="F111" t="s">
        <v>174</v>
      </c>
      <c r="G111">
        <f t="shared" si="7"/>
        <v>1</v>
      </c>
      <c r="J111" t="s">
        <v>174</v>
      </c>
      <c r="K111">
        <f t="shared" si="8"/>
        <v>0.4</v>
      </c>
    </row>
    <row r="112" spans="1:11" x14ac:dyDescent="0.35">
      <c r="A112" t="s">
        <v>180</v>
      </c>
      <c r="B112">
        <f t="shared" si="6"/>
        <v>0.5</v>
      </c>
      <c r="F112" t="s">
        <v>180</v>
      </c>
      <c r="G112">
        <f t="shared" si="7"/>
        <v>1</v>
      </c>
      <c r="J112" t="s">
        <v>180</v>
      </c>
      <c r="K112">
        <f t="shared" si="8"/>
        <v>0.4</v>
      </c>
    </row>
    <row r="113" spans="1:11" x14ac:dyDescent="0.35">
      <c r="A113" t="s">
        <v>185</v>
      </c>
      <c r="B113">
        <f t="shared" si="6"/>
        <v>0.5</v>
      </c>
      <c r="F113" t="s">
        <v>185</v>
      </c>
      <c r="G113">
        <f t="shared" si="7"/>
        <v>1</v>
      </c>
      <c r="J113" t="s">
        <v>185</v>
      </c>
      <c r="K113">
        <f t="shared" si="8"/>
        <v>0.4</v>
      </c>
    </row>
    <row r="114" spans="1:11" x14ac:dyDescent="0.35">
      <c r="A114" t="s">
        <v>283</v>
      </c>
      <c r="B114">
        <f t="shared" si="6"/>
        <v>0.5</v>
      </c>
      <c r="F114" t="s">
        <v>283</v>
      </c>
      <c r="G114">
        <f t="shared" si="7"/>
        <v>1</v>
      </c>
      <c r="J114" t="s">
        <v>283</v>
      </c>
      <c r="K114">
        <f t="shared" si="8"/>
        <v>0.4</v>
      </c>
    </row>
    <row r="115" spans="1:11" x14ac:dyDescent="0.35">
      <c r="A115" t="s">
        <v>286</v>
      </c>
      <c r="B115">
        <f>E76/2</f>
        <v>1</v>
      </c>
      <c r="F115" t="s">
        <v>286</v>
      </c>
      <c r="G115">
        <f>F76/2</f>
        <v>1</v>
      </c>
      <c r="J115" t="s">
        <v>286</v>
      </c>
      <c r="K115">
        <f>2/G76</f>
        <v>0.4</v>
      </c>
    </row>
    <row r="116" spans="1:11" x14ac:dyDescent="0.35">
      <c r="A116" t="s">
        <v>287</v>
      </c>
      <c r="B116">
        <f t="shared" si="6"/>
        <v>0.5</v>
      </c>
      <c r="F116" t="s">
        <v>287</v>
      </c>
      <c r="G116">
        <f t="shared" si="7"/>
        <v>1</v>
      </c>
      <c r="J116" t="s">
        <v>287</v>
      </c>
      <c r="K116">
        <f t="shared" si="8"/>
        <v>0.4</v>
      </c>
    </row>
    <row r="117" spans="1:11" x14ac:dyDescent="0.35">
      <c r="A117" t="s">
        <v>288</v>
      </c>
      <c r="B117">
        <f t="shared" si="6"/>
        <v>0.5</v>
      </c>
      <c r="F117" t="s">
        <v>288</v>
      </c>
      <c r="G117">
        <f t="shared" si="7"/>
        <v>1</v>
      </c>
      <c r="J117" t="s">
        <v>288</v>
      </c>
      <c r="K117">
        <f t="shared" si="8"/>
        <v>0.4</v>
      </c>
    </row>
    <row r="118" spans="1:11" x14ac:dyDescent="0.35">
      <c r="A118" t="s">
        <v>417</v>
      </c>
      <c r="B118">
        <f t="shared" si="6"/>
        <v>0.5</v>
      </c>
      <c r="F118" t="s">
        <v>417</v>
      </c>
      <c r="G118">
        <f t="shared" si="7"/>
        <v>1</v>
      </c>
      <c r="J118" t="s">
        <v>417</v>
      </c>
      <c r="K118">
        <f t="shared" ref="K118:K123" si="9">2/G79</f>
        <v>1</v>
      </c>
    </row>
    <row r="119" spans="1:11" x14ac:dyDescent="0.35">
      <c r="A119" t="s">
        <v>418</v>
      </c>
      <c r="B119">
        <f t="shared" si="6"/>
        <v>0.5</v>
      </c>
      <c r="F119" t="s">
        <v>418</v>
      </c>
      <c r="G119">
        <f t="shared" si="7"/>
        <v>1</v>
      </c>
      <c r="J119" t="s">
        <v>418</v>
      </c>
      <c r="K119">
        <f>2/G80</f>
        <v>0.66666666666666663</v>
      </c>
    </row>
    <row r="120" spans="1:11" x14ac:dyDescent="0.35">
      <c r="A120" t="s">
        <v>419</v>
      </c>
      <c r="B120">
        <f t="shared" si="6"/>
        <v>0.5</v>
      </c>
      <c r="F120" t="s">
        <v>419</v>
      </c>
      <c r="G120">
        <f t="shared" si="7"/>
        <v>1</v>
      </c>
      <c r="J120" t="s">
        <v>419</v>
      </c>
      <c r="K120">
        <f t="shared" si="9"/>
        <v>0.4</v>
      </c>
    </row>
    <row r="121" spans="1:11" x14ac:dyDescent="0.35">
      <c r="A121" t="s">
        <v>420</v>
      </c>
      <c r="B121">
        <f t="shared" si="6"/>
        <v>0.5</v>
      </c>
      <c r="F121" t="s">
        <v>420</v>
      </c>
      <c r="G121">
        <f t="shared" si="7"/>
        <v>1</v>
      </c>
      <c r="J121" t="s">
        <v>420</v>
      </c>
      <c r="K121">
        <f t="shared" si="9"/>
        <v>0.4</v>
      </c>
    </row>
    <row r="122" spans="1:11" x14ac:dyDescent="0.35">
      <c r="A122" t="s">
        <v>421</v>
      </c>
      <c r="B122">
        <f t="shared" si="6"/>
        <v>0.5</v>
      </c>
      <c r="F122" t="s">
        <v>421</v>
      </c>
      <c r="G122">
        <f t="shared" si="7"/>
        <v>0.5</v>
      </c>
      <c r="J122" t="s">
        <v>421</v>
      </c>
      <c r="K122">
        <f t="shared" si="9"/>
        <v>0.4</v>
      </c>
    </row>
    <row r="123" spans="1:11" x14ac:dyDescent="0.35">
      <c r="A123" t="s">
        <v>422</v>
      </c>
      <c r="B123">
        <f t="shared" si="6"/>
        <v>0.5</v>
      </c>
      <c r="F123" t="s">
        <v>422</v>
      </c>
      <c r="G123">
        <f t="shared" si="7"/>
        <v>1</v>
      </c>
      <c r="J123" t="s">
        <v>422</v>
      </c>
      <c r="K123">
        <f t="shared" si="9"/>
        <v>0.4</v>
      </c>
    </row>
    <row r="125" spans="1:11" x14ac:dyDescent="0.35">
      <c r="A125" t="s">
        <v>143</v>
      </c>
      <c r="F125" t="s">
        <v>144</v>
      </c>
      <c r="J125" t="s">
        <v>461</v>
      </c>
    </row>
    <row r="126" spans="1:11" x14ac:dyDescent="0.35">
      <c r="A126" t="s">
        <v>125</v>
      </c>
      <c r="B126">
        <f t="shared" ref="B126:B135" si="10">H69/2</f>
        <v>0.5</v>
      </c>
      <c r="F126" t="s">
        <v>125</v>
      </c>
      <c r="G126" s="19">
        <f t="shared" ref="G126:G141" si="11">I69/3</f>
        <v>0.66666666666666663</v>
      </c>
      <c r="J126" t="s">
        <v>125</v>
      </c>
      <c r="K126" s="19">
        <f t="shared" ref="K126:K141" si="12">J69/3</f>
        <v>1</v>
      </c>
    </row>
    <row r="127" spans="1:11" x14ac:dyDescent="0.35">
      <c r="A127" t="s">
        <v>126</v>
      </c>
      <c r="B127">
        <f t="shared" si="10"/>
        <v>0.5</v>
      </c>
      <c r="F127" t="s">
        <v>126</v>
      </c>
      <c r="G127" s="19">
        <f t="shared" si="11"/>
        <v>0.66666666666666663</v>
      </c>
      <c r="J127" t="s">
        <v>126</v>
      </c>
      <c r="K127" s="19">
        <f t="shared" si="12"/>
        <v>1</v>
      </c>
    </row>
    <row r="128" spans="1:11" x14ac:dyDescent="0.35">
      <c r="A128" t="s">
        <v>127</v>
      </c>
      <c r="B128">
        <f t="shared" si="10"/>
        <v>1</v>
      </c>
      <c r="F128" t="s">
        <v>127</v>
      </c>
      <c r="G128" s="19">
        <f t="shared" si="11"/>
        <v>0.66666666666666663</v>
      </c>
      <c r="J128" t="s">
        <v>127</v>
      </c>
      <c r="K128" s="19">
        <f t="shared" si="12"/>
        <v>1</v>
      </c>
    </row>
    <row r="129" spans="1:11" x14ac:dyDescent="0.35">
      <c r="A129" t="s">
        <v>174</v>
      </c>
      <c r="B129">
        <f t="shared" si="10"/>
        <v>1</v>
      </c>
      <c r="F129" t="s">
        <v>174</v>
      </c>
      <c r="G129" s="19">
        <f t="shared" si="11"/>
        <v>0.33333333333333331</v>
      </c>
      <c r="J129" t="s">
        <v>174</v>
      </c>
      <c r="K129" s="19">
        <f t="shared" si="12"/>
        <v>1</v>
      </c>
    </row>
    <row r="130" spans="1:11" x14ac:dyDescent="0.35">
      <c r="A130" t="s">
        <v>180</v>
      </c>
      <c r="B130">
        <f t="shared" si="10"/>
        <v>0.5</v>
      </c>
      <c r="F130" t="s">
        <v>180</v>
      </c>
      <c r="G130" s="19">
        <f t="shared" si="11"/>
        <v>0.66666666666666663</v>
      </c>
      <c r="J130" t="s">
        <v>180</v>
      </c>
      <c r="K130" s="19">
        <f t="shared" si="12"/>
        <v>1</v>
      </c>
    </row>
    <row r="131" spans="1:11" x14ac:dyDescent="0.35">
      <c r="A131" t="s">
        <v>185</v>
      </c>
      <c r="B131">
        <f t="shared" si="10"/>
        <v>1</v>
      </c>
      <c r="F131" t="s">
        <v>185</v>
      </c>
      <c r="G131" s="19">
        <f t="shared" si="11"/>
        <v>0.66666666666666663</v>
      </c>
      <c r="J131" t="s">
        <v>185</v>
      </c>
      <c r="K131" s="19">
        <f t="shared" si="12"/>
        <v>1</v>
      </c>
    </row>
    <row r="132" spans="1:11" x14ac:dyDescent="0.35">
      <c r="A132" t="s">
        <v>283</v>
      </c>
      <c r="B132">
        <f t="shared" si="10"/>
        <v>1</v>
      </c>
      <c r="F132" t="s">
        <v>283</v>
      </c>
      <c r="G132" s="19">
        <f t="shared" si="11"/>
        <v>0.66666666666666663</v>
      </c>
      <c r="J132" t="s">
        <v>283</v>
      </c>
      <c r="K132" s="19">
        <f t="shared" si="12"/>
        <v>0.66666666666666663</v>
      </c>
    </row>
    <row r="133" spans="1:11" x14ac:dyDescent="0.35">
      <c r="A133" t="s">
        <v>286</v>
      </c>
      <c r="B133">
        <f>H76/2</f>
        <v>0.5</v>
      </c>
      <c r="F133" t="s">
        <v>286</v>
      </c>
      <c r="G133" s="19">
        <f>I76/3</f>
        <v>0.66666666666666663</v>
      </c>
      <c r="J133" t="s">
        <v>286</v>
      </c>
      <c r="K133" s="19">
        <f>J76/3</f>
        <v>0.66666666666666663</v>
      </c>
    </row>
    <row r="134" spans="1:11" x14ac:dyDescent="0.35">
      <c r="A134" t="s">
        <v>287</v>
      </c>
      <c r="B134">
        <f t="shared" si="10"/>
        <v>0.5</v>
      </c>
      <c r="F134" t="s">
        <v>287</v>
      </c>
      <c r="G134" s="19">
        <f t="shared" si="11"/>
        <v>0.66666666666666663</v>
      </c>
      <c r="J134" t="s">
        <v>287</v>
      </c>
      <c r="K134" s="19">
        <f t="shared" si="12"/>
        <v>0.66666666666666663</v>
      </c>
    </row>
    <row r="135" spans="1:11" x14ac:dyDescent="0.35">
      <c r="A135" t="s">
        <v>288</v>
      </c>
      <c r="B135">
        <f t="shared" si="10"/>
        <v>0.5</v>
      </c>
      <c r="F135" t="s">
        <v>288</v>
      </c>
      <c r="G135" s="19">
        <f t="shared" si="11"/>
        <v>0.66666666666666663</v>
      </c>
      <c r="J135" t="s">
        <v>288</v>
      </c>
      <c r="K135" s="19">
        <f t="shared" si="12"/>
        <v>0.66666666666666663</v>
      </c>
    </row>
    <row r="136" spans="1:11" x14ac:dyDescent="0.35">
      <c r="A136" t="s">
        <v>417</v>
      </c>
      <c r="B136">
        <f t="shared" ref="B136:B141" si="13">H79/2</f>
        <v>0.5</v>
      </c>
      <c r="F136" t="s">
        <v>417</v>
      </c>
      <c r="G136" s="19">
        <f t="shared" si="11"/>
        <v>0.66666666666666663</v>
      </c>
      <c r="J136" t="s">
        <v>417</v>
      </c>
      <c r="K136" s="19">
        <f t="shared" si="12"/>
        <v>1</v>
      </c>
    </row>
    <row r="137" spans="1:11" x14ac:dyDescent="0.35">
      <c r="A137" t="s">
        <v>418</v>
      </c>
      <c r="B137">
        <f t="shared" si="13"/>
        <v>1</v>
      </c>
      <c r="F137" t="s">
        <v>418</v>
      </c>
      <c r="G137" s="19">
        <f t="shared" si="11"/>
        <v>0.66666666666666663</v>
      </c>
      <c r="J137" t="s">
        <v>418</v>
      </c>
      <c r="K137" s="19">
        <f t="shared" si="12"/>
        <v>0.33333333333333331</v>
      </c>
    </row>
    <row r="138" spans="1:11" x14ac:dyDescent="0.35">
      <c r="A138" t="s">
        <v>419</v>
      </c>
      <c r="B138">
        <f t="shared" si="13"/>
        <v>1</v>
      </c>
      <c r="F138" t="s">
        <v>419</v>
      </c>
      <c r="G138" s="19">
        <f t="shared" si="11"/>
        <v>0.66666666666666663</v>
      </c>
      <c r="J138" t="s">
        <v>419</v>
      </c>
      <c r="K138" s="19">
        <f t="shared" si="12"/>
        <v>0.33333333333333331</v>
      </c>
    </row>
    <row r="139" spans="1:11" x14ac:dyDescent="0.35">
      <c r="A139" t="s">
        <v>420</v>
      </c>
      <c r="B139">
        <f t="shared" si="13"/>
        <v>1</v>
      </c>
      <c r="F139" t="s">
        <v>420</v>
      </c>
      <c r="G139" s="19">
        <f t="shared" si="11"/>
        <v>0.66666666666666663</v>
      </c>
      <c r="J139" t="s">
        <v>420</v>
      </c>
      <c r="K139" s="19">
        <f t="shared" si="12"/>
        <v>0.66666666666666663</v>
      </c>
    </row>
    <row r="140" spans="1:11" x14ac:dyDescent="0.35">
      <c r="A140" t="s">
        <v>421</v>
      </c>
      <c r="B140">
        <f t="shared" si="13"/>
        <v>1</v>
      </c>
      <c r="F140" t="s">
        <v>421</v>
      </c>
      <c r="G140" s="19">
        <f t="shared" si="11"/>
        <v>1</v>
      </c>
      <c r="J140" t="s">
        <v>421</v>
      </c>
      <c r="K140" s="19">
        <f t="shared" si="12"/>
        <v>1</v>
      </c>
    </row>
    <row r="141" spans="1:11" x14ac:dyDescent="0.35">
      <c r="A141" t="s">
        <v>422</v>
      </c>
      <c r="B141">
        <f t="shared" si="13"/>
        <v>1</v>
      </c>
      <c r="F141" t="s">
        <v>422</v>
      </c>
      <c r="G141" s="19">
        <f t="shared" si="11"/>
        <v>0.66666666666666663</v>
      </c>
      <c r="J141" t="s">
        <v>422</v>
      </c>
      <c r="K141" s="19">
        <f t="shared" si="12"/>
        <v>1</v>
      </c>
    </row>
    <row r="143" spans="1:11" x14ac:dyDescent="0.35">
      <c r="A143" t="s">
        <v>145</v>
      </c>
    </row>
    <row r="145" spans="1:25" x14ac:dyDescent="0.35">
      <c r="A145" s="9" t="s">
        <v>136</v>
      </c>
      <c r="B145" s="9" t="s">
        <v>17</v>
      </c>
      <c r="C145" s="9" t="s">
        <v>18</v>
      </c>
      <c r="D145" s="9" t="s">
        <v>19</v>
      </c>
      <c r="E145" s="9" t="s">
        <v>20</v>
      </c>
      <c r="F145" s="9" t="s">
        <v>21</v>
      </c>
      <c r="G145" s="9" t="s">
        <v>22</v>
      </c>
      <c r="H145" s="9" t="s">
        <v>23</v>
      </c>
      <c r="I145" s="9" t="s">
        <v>24</v>
      </c>
      <c r="J145" s="9" t="s">
        <v>25</v>
      </c>
      <c r="L145" s="9"/>
      <c r="P145" t="s">
        <v>136</v>
      </c>
      <c r="Q145" t="s">
        <v>17</v>
      </c>
      <c r="R145" t="s">
        <v>18</v>
      </c>
      <c r="S145" t="s">
        <v>19</v>
      </c>
      <c r="T145" t="s">
        <v>20</v>
      </c>
      <c r="U145" t="s">
        <v>21</v>
      </c>
      <c r="V145" t="s">
        <v>22</v>
      </c>
      <c r="W145" t="s">
        <v>23</v>
      </c>
      <c r="X145" t="s">
        <v>24</v>
      </c>
      <c r="Y145" t="s">
        <v>25</v>
      </c>
    </row>
    <row r="146" spans="1:25" x14ac:dyDescent="0.35">
      <c r="A146" s="9" t="s">
        <v>125</v>
      </c>
      <c r="B146" s="59">
        <f>B90</f>
        <v>1</v>
      </c>
      <c r="C146" s="59">
        <f>G90</f>
        <v>0.8</v>
      </c>
      <c r="D146" s="59">
        <f>K90</f>
        <v>0.6</v>
      </c>
      <c r="E146" s="59">
        <f>B108</f>
        <v>0.5</v>
      </c>
      <c r="F146" s="59">
        <f>G108</f>
        <v>1</v>
      </c>
      <c r="G146" s="59">
        <f>K108</f>
        <v>1</v>
      </c>
      <c r="H146" s="59">
        <f>B126</f>
        <v>0.5</v>
      </c>
      <c r="I146" s="59">
        <f>G126</f>
        <v>0.66666666666666663</v>
      </c>
      <c r="J146" s="59">
        <f>K126</f>
        <v>1</v>
      </c>
      <c r="L146" s="20"/>
      <c r="P146" t="s">
        <v>125</v>
      </c>
      <c r="Q146">
        <v>1</v>
      </c>
      <c r="R146">
        <v>0.8</v>
      </c>
      <c r="S146">
        <v>0.6</v>
      </c>
      <c r="T146">
        <v>0.5</v>
      </c>
      <c r="U146">
        <v>1</v>
      </c>
      <c r="V146">
        <v>1</v>
      </c>
      <c r="W146">
        <v>0.5</v>
      </c>
      <c r="X146">
        <v>0.66666666666666663</v>
      </c>
      <c r="Y146">
        <v>1</v>
      </c>
    </row>
    <row r="147" spans="1:25" x14ac:dyDescent="0.35">
      <c r="A147" s="9" t="s">
        <v>126</v>
      </c>
      <c r="B147" s="59">
        <f t="shared" ref="B147:B161" si="14">B91</f>
        <v>0.5</v>
      </c>
      <c r="C147" s="59">
        <f t="shared" ref="C147:C161" si="15">G91</f>
        <v>1</v>
      </c>
      <c r="D147" s="59">
        <f t="shared" ref="D147:D161" si="16">K91</f>
        <v>0.6</v>
      </c>
      <c r="E147" s="59">
        <f t="shared" ref="E147:E161" si="17">B109</f>
        <v>0.5</v>
      </c>
      <c r="F147" s="59">
        <f t="shared" ref="F147:F161" si="18">G109</f>
        <v>1</v>
      </c>
      <c r="G147" s="59">
        <f t="shared" ref="G147:G161" si="19">K109</f>
        <v>0.4</v>
      </c>
      <c r="H147" s="59">
        <f t="shared" ref="H147:H161" si="20">B127</f>
        <v>0.5</v>
      </c>
      <c r="I147" s="59">
        <f t="shared" ref="I147:I161" si="21">G127</f>
        <v>0.66666666666666663</v>
      </c>
      <c r="J147" s="59">
        <f t="shared" ref="J147:J161" si="22">K127</f>
        <v>1</v>
      </c>
      <c r="L147" s="20"/>
      <c r="P147" t="s">
        <v>126</v>
      </c>
      <c r="Q147">
        <v>0.5</v>
      </c>
      <c r="R147">
        <v>1</v>
      </c>
      <c r="S147">
        <v>0.6</v>
      </c>
      <c r="T147">
        <v>0.5</v>
      </c>
      <c r="U147">
        <v>1</v>
      </c>
      <c r="V147">
        <v>0.4</v>
      </c>
      <c r="W147">
        <v>0.5</v>
      </c>
      <c r="X147">
        <v>0.66666666666666663</v>
      </c>
      <c r="Y147">
        <v>1</v>
      </c>
    </row>
    <row r="148" spans="1:25" x14ac:dyDescent="0.35">
      <c r="A148" s="9" t="s">
        <v>127</v>
      </c>
      <c r="B148" s="59">
        <f t="shared" si="14"/>
        <v>0.33333333333333331</v>
      </c>
      <c r="C148" s="59">
        <f t="shared" si="15"/>
        <v>1</v>
      </c>
      <c r="D148" s="59">
        <f t="shared" si="16"/>
        <v>1</v>
      </c>
      <c r="E148" s="59">
        <f t="shared" si="17"/>
        <v>0.5</v>
      </c>
      <c r="F148" s="59">
        <f t="shared" si="18"/>
        <v>1</v>
      </c>
      <c r="G148" s="59">
        <f t="shared" si="19"/>
        <v>1</v>
      </c>
      <c r="H148" s="59">
        <f t="shared" si="20"/>
        <v>1</v>
      </c>
      <c r="I148" s="59">
        <f t="shared" si="21"/>
        <v>0.66666666666666663</v>
      </c>
      <c r="J148" s="59">
        <f t="shared" si="22"/>
        <v>1</v>
      </c>
      <c r="L148" s="9"/>
      <c r="P148" t="s">
        <v>127</v>
      </c>
      <c r="Q148">
        <v>0.33333333333333331</v>
      </c>
      <c r="R148">
        <v>1</v>
      </c>
      <c r="S148">
        <v>1</v>
      </c>
      <c r="T148">
        <v>0.5</v>
      </c>
      <c r="U148">
        <v>1</v>
      </c>
      <c r="V148">
        <v>1</v>
      </c>
      <c r="W148">
        <v>1</v>
      </c>
      <c r="X148">
        <v>0.66666666666666663</v>
      </c>
      <c r="Y148">
        <v>1</v>
      </c>
    </row>
    <row r="149" spans="1:25" x14ac:dyDescent="0.35">
      <c r="A149" s="9" t="s">
        <v>174</v>
      </c>
      <c r="B149" s="59">
        <f t="shared" si="14"/>
        <v>1</v>
      </c>
      <c r="C149" s="59">
        <f t="shared" si="15"/>
        <v>0.4</v>
      </c>
      <c r="D149" s="59">
        <f t="shared" si="16"/>
        <v>1</v>
      </c>
      <c r="E149" s="59">
        <f t="shared" si="17"/>
        <v>0.5</v>
      </c>
      <c r="F149" s="59">
        <f t="shared" si="18"/>
        <v>1</v>
      </c>
      <c r="G149" s="59">
        <f t="shared" si="19"/>
        <v>0.4</v>
      </c>
      <c r="H149" s="59">
        <f t="shared" si="20"/>
        <v>1</v>
      </c>
      <c r="I149" s="59">
        <f t="shared" si="21"/>
        <v>0.33333333333333331</v>
      </c>
      <c r="J149" s="59">
        <f t="shared" si="22"/>
        <v>1</v>
      </c>
      <c r="L149" s="9"/>
      <c r="P149" t="s">
        <v>174</v>
      </c>
      <c r="Q149">
        <v>1</v>
      </c>
      <c r="R149">
        <v>0.4</v>
      </c>
      <c r="S149">
        <v>1</v>
      </c>
      <c r="T149">
        <v>0.5</v>
      </c>
      <c r="U149">
        <v>1</v>
      </c>
      <c r="V149">
        <v>0.4</v>
      </c>
      <c r="W149">
        <v>1</v>
      </c>
      <c r="X149">
        <v>0.33333333333333331</v>
      </c>
      <c r="Y149">
        <v>1</v>
      </c>
    </row>
    <row r="150" spans="1:25" x14ac:dyDescent="0.35">
      <c r="A150" s="9" t="s">
        <v>180</v>
      </c>
      <c r="B150" s="59">
        <f t="shared" si="14"/>
        <v>0.33333333333333331</v>
      </c>
      <c r="C150" s="59">
        <f t="shared" si="15"/>
        <v>0.6</v>
      </c>
      <c r="D150" s="59">
        <f t="shared" si="16"/>
        <v>0.6</v>
      </c>
      <c r="E150" s="59">
        <f t="shared" si="17"/>
        <v>0.5</v>
      </c>
      <c r="F150" s="59">
        <f t="shared" si="18"/>
        <v>1</v>
      </c>
      <c r="G150" s="59">
        <f t="shared" si="19"/>
        <v>0.4</v>
      </c>
      <c r="H150" s="59">
        <f t="shared" si="20"/>
        <v>0.5</v>
      </c>
      <c r="I150" s="59">
        <f t="shared" si="21"/>
        <v>0.66666666666666663</v>
      </c>
      <c r="J150" s="59">
        <f t="shared" si="22"/>
        <v>1</v>
      </c>
      <c r="L150" s="9"/>
      <c r="P150" t="s">
        <v>180</v>
      </c>
      <c r="Q150">
        <v>0.33333333333333331</v>
      </c>
      <c r="R150">
        <v>0.6</v>
      </c>
      <c r="S150">
        <v>0.6</v>
      </c>
      <c r="T150">
        <v>0.5</v>
      </c>
      <c r="U150">
        <v>1</v>
      </c>
      <c r="V150">
        <v>0.4</v>
      </c>
      <c r="W150">
        <v>0.5</v>
      </c>
      <c r="X150">
        <v>0.66666666666666663</v>
      </c>
      <c r="Y150">
        <v>1</v>
      </c>
    </row>
    <row r="151" spans="1:25" x14ac:dyDescent="0.35">
      <c r="A151" s="9" t="s">
        <v>185</v>
      </c>
      <c r="B151" s="59">
        <f t="shared" si="14"/>
        <v>0.33333333333333331</v>
      </c>
      <c r="C151" s="59">
        <f>G95</f>
        <v>0.8</v>
      </c>
      <c r="D151" s="59">
        <f t="shared" si="16"/>
        <v>0.6</v>
      </c>
      <c r="E151" s="59">
        <f t="shared" si="17"/>
        <v>0.5</v>
      </c>
      <c r="F151" s="59">
        <f t="shared" si="18"/>
        <v>1</v>
      </c>
      <c r="G151" s="59">
        <f t="shared" si="19"/>
        <v>0.4</v>
      </c>
      <c r="H151" s="59">
        <f t="shared" si="20"/>
        <v>1</v>
      </c>
      <c r="I151" s="59">
        <f t="shared" si="21"/>
        <v>0.66666666666666663</v>
      </c>
      <c r="J151" s="59">
        <f t="shared" si="22"/>
        <v>1</v>
      </c>
      <c r="L151" s="9"/>
      <c r="P151" t="s">
        <v>185</v>
      </c>
      <c r="Q151">
        <v>0.33333333333333331</v>
      </c>
      <c r="R151">
        <v>0.8</v>
      </c>
      <c r="S151">
        <v>0.6</v>
      </c>
      <c r="T151">
        <v>0.5</v>
      </c>
      <c r="U151">
        <v>1</v>
      </c>
      <c r="V151">
        <v>0.4</v>
      </c>
      <c r="W151">
        <v>1</v>
      </c>
      <c r="X151">
        <v>0.66666666666666663</v>
      </c>
      <c r="Y151">
        <v>1</v>
      </c>
    </row>
    <row r="152" spans="1:25" x14ac:dyDescent="0.35">
      <c r="A152" s="9" t="s">
        <v>283</v>
      </c>
      <c r="B152" s="59">
        <f t="shared" si="14"/>
        <v>0.5</v>
      </c>
      <c r="C152" s="59">
        <f t="shared" si="15"/>
        <v>0.6</v>
      </c>
      <c r="D152" s="59">
        <f t="shared" si="16"/>
        <v>0.6</v>
      </c>
      <c r="E152" s="59">
        <f t="shared" si="17"/>
        <v>0.5</v>
      </c>
      <c r="F152" s="59">
        <f t="shared" si="18"/>
        <v>1</v>
      </c>
      <c r="G152" s="59">
        <f t="shared" si="19"/>
        <v>0.4</v>
      </c>
      <c r="H152" s="59">
        <f t="shared" si="20"/>
        <v>1</v>
      </c>
      <c r="I152" s="59">
        <f t="shared" si="21"/>
        <v>0.66666666666666663</v>
      </c>
      <c r="J152" s="59">
        <f>K132</f>
        <v>0.66666666666666663</v>
      </c>
      <c r="L152" s="9"/>
      <c r="P152" t="s">
        <v>283</v>
      </c>
      <c r="Q152">
        <v>0.5</v>
      </c>
      <c r="R152">
        <v>0.6</v>
      </c>
      <c r="S152">
        <v>0.6</v>
      </c>
      <c r="T152">
        <v>0.5</v>
      </c>
      <c r="U152">
        <v>1</v>
      </c>
      <c r="V152">
        <v>0.4</v>
      </c>
      <c r="W152">
        <v>1</v>
      </c>
      <c r="X152">
        <v>0.66666666666666663</v>
      </c>
      <c r="Y152">
        <v>0.66666666666666663</v>
      </c>
    </row>
    <row r="153" spans="1:25" x14ac:dyDescent="0.35">
      <c r="A153" s="9" t="s">
        <v>286</v>
      </c>
      <c r="B153" s="59">
        <f t="shared" si="14"/>
        <v>1</v>
      </c>
      <c r="C153" s="59">
        <f t="shared" si="15"/>
        <v>0.2</v>
      </c>
      <c r="D153" s="59">
        <f t="shared" si="16"/>
        <v>1</v>
      </c>
      <c r="E153" s="59">
        <f t="shared" si="17"/>
        <v>1</v>
      </c>
      <c r="F153" s="59">
        <f t="shared" si="18"/>
        <v>1</v>
      </c>
      <c r="G153" s="59">
        <f t="shared" si="19"/>
        <v>0.4</v>
      </c>
      <c r="H153" s="59">
        <f>B133</f>
        <v>0.5</v>
      </c>
      <c r="I153" s="59">
        <f t="shared" si="21"/>
        <v>0.66666666666666663</v>
      </c>
      <c r="J153" s="59">
        <f t="shared" si="22"/>
        <v>0.66666666666666663</v>
      </c>
      <c r="L153" s="9"/>
      <c r="P153" t="s">
        <v>286</v>
      </c>
      <c r="Q153">
        <v>1</v>
      </c>
      <c r="R153">
        <v>0.2</v>
      </c>
      <c r="S153">
        <v>1</v>
      </c>
      <c r="T153">
        <v>1</v>
      </c>
      <c r="U153">
        <v>1</v>
      </c>
      <c r="V153">
        <v>0.4</v>
      </c>
      <c r="W153">
        <v>0.5</v>
      </c>
      <c r="X153">
        <v>0.66666666666666663</v>
      </c>
      <c r="Y153">
        <v>0.66666666666666663</v>
      </c>
    </row>
    <row r="154" spans="1:25" x14ac:dyDescent="0.35">
      <c r="A154" s="9" t="s">
        <v>287</v>
      </c>
      <c r="B154" s="59">
        <f t="shared" si="14"/>
        <v>0.5</v>
      </c>
      <c r="C154" s="59">
        <f t="shared" si="15"/>
        <v>0.6</v>
      </c>
      <c r="D154" s="59">
        <f t="shared" si="16"/>
        <v>0.6</v>
      </c>
      <c r="E154" s="59">
        <f t="shared" si="17"/>
        <v>0.5</v>
      </c>
      <c r="F154" s="59">
        <f t="shared" si="18"/>
        <v>1</v>
      </c>
      <c r="G154" s="59">
        <f t="shared" si="19"/>
        <v>0.4</v>
      </c>
      <c r="H154" s="59">
        <f t="shared" si="20"/>
        <v>0.5</v>
      </c>
      <c r="I154" s="59">
        <f t="shared" si="21"/>
        <v>0.66666666666666663</v>
      </c>
      <c r="J154" s="59">
        <f t="shared" si="22"/>
        <v>0.66666666666666663</v>
      </c>
      <c r="L154" s="9"/>
      <c r="P154" t="s">
        <v>287</v>
      </c>
      <c r="Q154">
        <v>0.5</v>
      </c>
      <c r="R154">
        <v>0.6</v>
      </c>
      <c r="S154">
        <v>0.6</v>
      </c>
      <c r="T154">
        <v>0.5</v>
      </c>
      <c r="U154">
        <v>1</v>
      </c>
      <c r="V154">
        <v>0.4</v>
      </c>
      <c r="W154">
        <v>0.5</v>
      </c>
      <c r="X154">
        <v>0.66666666666666663</v>
      </c>
      <c r="Y154">
        <v>0.66666666666666663</v>
      </c>
    </row>
    <row r="155" spans="1:25" x14ac:dyDescent="0.35">
      <c r="A155" s="9" t="s">
        <v>288</v>
      </c>
      <c r="B155" s="59">
        <f t="shared" si="14"/>
        <v>1</v>
      </c>
      <c r="C155" s="59">
        <f t="shared" si="15"/>
        <v>0.4</v>
      </c>
      <c r="D155" s="59">
        <f t="shared" si="16"/>
        <v>0.6</v>
      </c>
      <c r="E155" s="59">
        <f t="shared" si="17"/>
        <v>0.5</v>
      </c>
      <c r="F155" s="59">
        <f t="shared" si="18"/>
        <v>1</v>
      </c>
      <c r="G155" s="59">
        <f t="shared" si="19"/>
        <v>0.4</v>
      </c>
      <c r="H155" s="59">
        <f t="shared" si="20"/>
        <v>0.5</v>
      </c>
      <c r="I155" s="59">
        <f t="shared" si="21"/>
        <v>0.66666666666666663</v>
      </c>
      <c r="J155" s="59">
        <f t="shared" si="22"/>
        <v>0.66666666666666663</v>
      </c>
      <c r="P155" t="s">
        <v>288</v>
      </c>
      <c r="Q155">
        <v>1</v>
      </c>
      <c r="R155">
        <v>0.4</v>
      </c>
      <c r="S155">
        <v>0.6</v>
      </c>
      <c r="T155">
        <v>0.5</v>
      </c>
      <c r="U155">
        <v>1</v>
      </c>
      <c r="V155">
        <v>0.4</v>
      </c>
      <c r="W155">
        <v>0.5</v>
      </c>
      <c r="X155">
        <v>0.66666666666666663</v>
      </c>
      <c r="Y155">
        <v>0.66666666666666663</v>
      </c>
    </row>
    <row r="156" spans="1:25" x14ac:dyDescent="0.35">
      <c r="A156" s="9" t="s">
        <v>417</v>
      </c>
      <c r="B156" s="59">
        <f t="shared" si="14"/>
        <v>1</v>
      </c>
      <c r="C156" s="59">
        <f t="shared" si="15"/>
        <v>0.6</v>
      </c>
      <c r="D156" s="59">
        <f t="shared" si="16"/>
        <v>0.6</v>
      </c>
      <c r="E156" s="59">
        <f t="shared" si="17"/>
        <v>0.5</v>
      </c>
      <c r="F156" s="59">
        <f t="shared" si="18"/>
        <v>1</v>
      </c>
      <c r="G156" s="59">
        <f t="shared" si="19"/>
        <v>1</v>
      </c>
      <c r="H156" s="59">
        <f t="shared" si="20"/>
        <v>0.5</v>
      </c>
      <c r="I156" s="59">
        <f t="shared" si="21"/>
        <v>0.66666666666666663</v>
      </c>
      <c r="J156" s="59">
        <f t="shared" si="22"/>
        <v>1</v>
      </c>
      <c r="P156" t="s">
        <v>417</v>
      </c>
      <c r="Q156">
        <v>1</v>
      </c>
      <c r="R156">
        <v>0.6</v>
      </c>
      <c r="S156">
        <v>0.6</v>
      </c>
      <c r="T156">
        <v>0.5</v>
      </c>
      <c r="U156">
        <v>1</v>
      </c>
      <c r="V156">
        <v>1</v>
      </c>
      <c r="W156">
        <v>0.5</v>
      </c>
      <c r="X156">
        <v>0.66666666666666663</v>
      </c>
      <c r="Y156">
        <v>1</v>
      </c>
    </row>
    <row r="157" spans="1:25" x14ac:dyDescent="0.35">
      <c r="A157" s="9" t="s">
        <v>418</v>
      </c>
      <c r="B157" s="59">
        <f t="shared" si="14"/>
        <v>1</v>
      </c>
      <c r="C157" s="59">
        <f t="shared" si="15"/>
        <v>0.6</v>
      </c>
      <c r="D157" s="59">
        <f t="shared" si="16"/>
        <v>0.6</v>
      </c>
      <c r="E157" s="59">
        <f t="shared" si="17"/>
        <v>0.5</v>
      </c>
      <c r="F157" s="59">
        <f t="shared" si="18"/>
        <v>1</v>
      </c>
      <c r="G157" s="59">
        <f>K119</f>
        <v>0.66666666666666663</v>
      </c>
      <c r="H157" s="59">
        <f t="shared" si="20"/>
        <v>1</v>
      </c>
      <c r="I157" s="59">
        <f t="shared" si="21"/>
        <v>0.66666666666666663</v>
      </c>
      <c r="J157" s="59">
        <f t="shared" si="22"/>
        <v>0.33333333333333331</v>
      </c>
      <c r="P157" t="s">
        <v>418</v>
      </c>
      <c r="Q157">
        <v>1</v>
      </c>
      <c r="R157">
        <v>0.6</v>
      </c>
      <c r="S157">
        <v>0.6</v>
      </c>
      <c r="T157">
        <v>0.5</v>
      </c>
      <c r="U157">
        <v>1</v>
      </c>
      <c r="V157">
        <v>0.66666666666666663</v>
      </c>
      <c r="W157">
        <v>1</v>
      </c>
      <c r="X157">
        <v>0.66666666666666663</v>
      </c>
      <c r="Y157">
        <v>0.33333333333333331</v>
      </c>
    </row>
    <row r="158" spans="1:25" x14ac:dyDescent="0.35">
      <c r="A158" s="9" t="s">
        <v>419</v>
      </c>
      <c r="B158" s="59">
        <f t="shared" si="14"/>
        <v>1</v>
      </c>
      <c r="C158" s="59">
        <f t="shared" si="15"/>
        <v>0.6</v>
      </c>
      <c r="D158" s="59">
        <f t="shared" si="16"/>
        <v>0.6</v>
      </c>
      <c r="E158" s="59">
        <f t="shared" si="17"/>
        <v>0.5</v>
      </c>
      <c r="F158" s="59">
        <f t="shared" si="18"/>
        <v>1</v>
      </c>
      <c r="G158" s="59">
        <f t="shared" si="19"/>
        <v>0.4</v>
      </c>
      <c r="H158" s="59">
        <f t="shared" si="20"/>
        <v>1</v>
      </c>
      <c r="I158" s="59">
        <f t="shared" si="21"/>
        <v>0.66666666666666663</v>
      </c>
      <c r="J158" s="59">
        <f t="shared" si="22"/>
        <v>0.33333333333333331</v>
      </c>
      <c r="P158" t="s">
        <v>419</v>
      </c>
      <c r="Q158">
        <v>1</v>
      </c>
      <c r="R158">
        <v>0.6</v>
      </c>
      <c r="S158">
        <v>0.6</v>
      </c>
      <c r="T158">
        <v>0.5</v>
      </c>
      <c r="U158">
        <v>1</v>
      </c>
      <c r="V158">
        <v>0.4</v>
      </c>
      <c r="W158">
        <v>1</v>
      </c>
      <c r="X158">
        <v>0.66666666666666663</v>
      </c>
      <c r="Y158">
        <v>0.33333333333333331</v>
      </c>
    </row>
    <row r="159" spans="1:25" x14ac:dyDescent="0.35">
      <c r="A159" s="9" t="s">
        <v>420</v>
      </c>
      <c r="B159" s="59">
        <f t="shared" si="14"/>
        <v>1</v>
      </c>
      <c r="C159" s="59">
        <f t="shared" si="15"/>
        <v>0.4</v>
      </c>
      <c r="D159" s="59">
        <f t="shared" si="16"/>
        <v>0.8</v>
      </c>
      <c r="E159" s="59">
        <f t="shared" si="17"/>
        <v>0.5</v>
      </c>
      <c r="F159" s="59">
        <f t="shared" si="18"/>
        <v>1</v>
      </c>
      <c r="G159" s="59">
        <f t="shared" si="19"/>
        <v>0.4</v>
      </c>
      <c r="H159" s="59">
        <f t="shared" si="20"/>
        <v>1</v>
      </c>
      <c r="I159" s="59">
        <f t="shared" si="21"/>
        <v>0.66666666666666663</v>
      </c>
      <c r="J159" s="59">
        <f t="shared" si="22"/>
        <v>0.66666666666666663</v>
      </c>
      <c r="P159" t="s">
        <v>420</v>
      </c>
      <c r="Q159">
        <v>1</v>
      </c>
      <c r="R159">
        <v>0.4</v>
      </c>
      <c r="S159">
        <v>0.8</v>
      </c>
      <c r="T159">
        <v>0.5</v>
      </c>
      <c r="U159">
        <v>1</v>
      </c>
      <c r="V159">
        <v>0.4</v>
      </c>
      <c r="W159">
        <v>1</v>
      </c>
      <c r="X159">
        <v>0.66666666666666663</v>
      </c>
      <c r="Y159">
        <v>0.66666666666666663</v>
      </c>
    </row>
    <row r="160" spans="1:25" x14ac:dyDescent="0.35">
      <c r="A160" s="9" t="s">
        <v>421</v>
      </c>
      <c r="B160" s="59">
        <f t="shared" si="14"/>
        <v>1</v>
      </c>
      <c r="C160" s="59">
        <f t="shared" si="15"/>
        <v>0.6</v>
      </c>
      <c r="D160" s="59">
        <f t="shared" si="16"/>
        <v>0.6</v>
      </c>
      <c r="E160" s="59">
        <f>B122</f>
        <v>0.5</v>
      </c>
      <c r="F160" s="59">
        <f>G122</f>
        <v>0.5</v>
      </c>
      <c r="G160" s="59">
        <f t="shared" si="19"/>
        <v>0.4</v>
      </c>
      <c r="H160" s="59">
        <f t="shared" si="20"/>
        <v>1</v>
      </c>
      <c r="I160" s="59">
        <f t="shared" si="21"/>
        <v>1</v>
      </c>
      <c r="J160" s="59">
        <f t="shared" si="22"/>
        <v>1</v>
      </c>
      <c r="P160" t="s">
        <v>421</v>
      </c>
      <c r="Q160">
        <v>1</v>
      </c>
      <c r="R160">
        <v>0.6</v>
      </c>
      <c r="S160">
        <v>0.6</v>
      </c>
      <c r="T160">
        <v>0.5</v>
      </c>
      <c r="U160">
        <v>0.5</v>
      </c>
      <c r="V160">
        <v>0.4</v>
      </c>
      <c r="W160">
        <v>1</v>
      </c>
      <c r="X160">
        <v>1</v>
      </c>
      <c r="Y160">
        <v>1</v>
      </c>
    </row>
    <row r="161" spans="1:28" x14ac:dyDescent="0.35">
      <c r="A161" s="9" t="s">
        <v>422</v>
      </c>
      <c r="B161" s="59">
        <f t="shared" si="14"/>
        <v>1</v>
      </c>
      <c r="C161" s="59">
        <f t="shared" si="15"/>
        <v>0.6</v>
      </c>
      <c r="D161" s="59">
        <f t="shared" si="16"/>
        <v>0.6</v>
      </c>
      <c r="E161" s="59">
        <f t="shared" si="17"/>
        <v>0.5</v>
      </c>
      <c r="F161" s="59">
        <f t="shared" si="18"/>
        <v>1</v>
      </c>
      <c r="G161" s="59">
        <f t="shared" si="19"/>
        <v>0.4</v>
      </c>
      <c r="H161" s="59">
        <f t="shared" si="20"/>
        <v>1</v>
      </c>
      <c r="I161" s="59">
        <f t="shared" si="21"/>
        <v>0.66666666666666663</v>
      </c>
      <c r="J161" s="59">
        <f t="shared" si="22"/>
        <v>1</v>
      </c>
      <c r="P161" t="s">
        <v>422</v>
      </c>
      <c r="Q161">
        <v>1</v>
      </c>
      <c r="R161">
        <v>0.6</v>
      </c>
      <c r="S161">
        <v>0.6</v>
      </c>
      <c r="T161">
        <v>0.5</v>
      </c>
      <c r="U161">
        <v>1</v>
      </c>
      <c r="V161">
        <v>0.4</v>
      </c>
      <c r="W161">
        <v>1</v>
      </c>
      <c r="X161">
        <v>0.66666666666666663</v>
      </c>
      <c r="Y161">
        <v>1</v>
      </c>
    </row>
    <row r="164" spans="1:28" x14ac:dyDescent="0.35">
      <c r="A164" s="9" t="s">
        <v>462</v>
      </c>
      <c r="P164" s="18" t="s">
        <v>462</v>
      </c>
    </row>
    <row r="165" spans="1:28" x14ac:dyDescent="0.35">
      <c r="A165" s="9"/>
      <c r="B165" s="9" t="s">
        <v>476</v>
      </c>
      <c r="C165" s="9" t="s">
        <v>477</v>
      </c>
      <c r="D165" s="9" t="s">
        <v>478</v>
      </c>
      <c r="E165" s="9" t="s">
        <v>479</v>
      </c>
      <c r="F165" s="9" t="s">
        <v>480</v>
      </c>
      <c r="G165" s="9" t="s">
        <v>481</v>
      </c>
      <c r="H165" s="9" t="s">
        <v>482</v>
      </c>
      <c r="I165" s="9" t="s">
        <v>483</v>
      </c>
      <c r="J165" s="9" t="s">
        <v>484</v>
      </c>
      <c r="K165" s="9"/>
      <c r="L165" s="9"/>
      <c r="M165" s="9"/>
      <c r="P165" s="9"/>
      <c r="Q165" s="9" t="s">
        <v>464</v>
      </c>
      <c r="R165" s="9" t="s">
        <v>463</v>
      </c>
      <c r="S165" s="9" t="s">
        <v>465</v>
      </c>
      <c r="T165" s="9" t="s">
        <v>466</v>
      </c>
      <c r="U165" s="9" t="s">
        <v>467</v>
      </c>
      <c r="V165" s="9" t="s">
        <v>468</v>
      </c>
      <c r="W165" s="9" t="s">
        <v>469</v>
      </c>
      <c r="X165" s="9" t="s">
        <v>470</v>
      </c>
      <c r="Y165" s="9" t="s">
        <v>471</v>
      </c>
      <c r="Z165" s="9"/>
      <c r="AA165" s="9"/>
      <c r="AB165" s="9"/>
    </row>
    <row r="166" spans="1:28" x14ac:dyDescent="0.35">
      <c r="A166" s="9" t="s">
        <v>136</v>
      </c>
      <c r="B166" s="9" t="s">
        <v>17</v>
      </c>
      <c r="C166" s="9" t="s">
        <v>18</v>
      </c>
      <c r="D166" s="9" t="s">
        <v>19</v>
      </c>
      <c r="E166" s="9" t="s">
        <v>20</v>
      </c>
      <c r="F166" s="9" t="s">
        <v>21</v>
      </c>
      <c r="G166" s="9" t="s">
        <v>22</v>
      </c>
      <c r="H166" s="9" t="s">
        <v>23</v>
      </c>
      <c r="I166" s="9" t="s">
        <v>24</v>
      </c>
      <c r="J166" s="9" t="s">
        <v>25</v>
      </c>
      <c r="K166" s="9" t="s">
        <v>147</v>
      </c>
      <c r="L166" s="9"/>
      <c r="M166" s="9" t="s">
        <v>224</v>
      </c>
      <c r="P166" s="60" t="s">
        <v>136</v>
      </c>
      <c r="Q166" s="61" t="s">
        <v>17</v>
      </c>
      <c r="R166" s="61" t="s">
        <v>18</v>
      </c>
      <c r="S166" s="61" t="s">
        <v>19</v>
      </c>
      <c r="T166" s="61" t="s">
        <v>20</v>
      </c>
      <c r="U166" s="61" t="s">
        <v>21</v>
      </c>
      <c r="V166" s="61" t="s">
        <v>22</v>
      </c>
      <c r="W166" s="61" t="s">
        <v>23</v>
      </c>
      <c r="X166" s="61" t="s">
        <v>24</v>
      </c>
      <c r="Y166" s="61" t="s">
        <v>25</v>
      </c>
      <c r="Z166" s="61" t="s">
        <v>147</v>
      </c>
      <c r="AA166" s="61" t="s">
        <v>224</v>
      </c>
      <c r="AB166" s="9"/>
    </row>
    <row r="167" spans="1:28" x14ac:dyDescent="0.35">
      <c r="A167" s="9" t="s">
        <v>125</v>
      </c>
      <c r="B167" s="9">
        <f>B146*E18</f>
        <v>0.31430000000000002</v>
      </c>
      <c r="C167" s="62">
        <f>C146*E19</f>
        <v>0.16256000000000001</v>
      </c>
      <c r="D167" s="62">
        <f>D146*E20</f>
        <v>8.861999999999999E-2</v>
      </c>
      <c r="E167" s="9">
        <f>E146*E21</f>
        <v>5.5300000000000002E-2</v>
      </c>
      <c r="F167" s="9">
        <f>F146*E22</f>
        <v>8.2799999999999999E-2</v>
      </c>
      <c r="G167" s="9">
        <f>G146*E23</f>
        <v>6.0600000000000001E-2</v>
      </c>
      <c r="H167" s="62">
        <f>H146*E24</f>
        <v>2.1049999999999999E-2</v>
      </c>
      <c r="I167" s="62">
        <f>I146*E25</f>
        <v>1.7466666666666665E-2</v>
      </c>
      <c r="J167" s="9">
        <f>J146*E26</f>
        <v>1.23E-2</v>
      </c>
      <c r="K167" s="62">
        <f t="shared" ref="K167:K174" si="23">SUM(B167:J167)</f>
        <v>0.8149966666666667</v>
      </c>
      <c r="L167" s="9"/>
      <c r="M167" s="9">
        <f>_xlfn.RANK.EQ(K167,$K$167:$K$182,0)</f>
        <v>1</v>
      </c>
      <c r="P167" s="9" t="s">
        <v>125</v>
      </c>
      <c r="Q167" s="62">
        <f>B146*D18</f>
        <v>0.314</v>
      </c>
      <c r="R167" s="62">
        <f>C146*D19</f>
        <v>0.16240000000000002</v>
      </c>
      <c r="S167" s="62">
        <f>D146*D20</f>
        <v>8.879999999999999E-2</v>
      </c>
      <c r="T167" s="62">
        <f>E146*D21</f>
        <v>5.5500000000000001E-2</v>
      </c>
      <c r="U167" s="62">
        <f>F146*D22</f>
        <v>8.3000000000000004E-2</v>
      </c>
      <c r="V167" s="62">
        <f>G146*D23</f>
        <v>6.0999999999999999E-2</v>
      </c>
      <c r="W167" s="62">
        <f>H146*D24</f>
        <v>2.1000000000000001E-2</v>
      </c>
      <c r="X167" s="62">
        <f>I146*D25</f>
        <v>1.7333333333333333E-2</v>
      </c>
      <c r="Y167" s="62">
        <f>J146*D26</f>
        <v>1.2E-2</v>
      </c>
      <c r="Z167" s="62">
        <f t="shared" ref="Z167:Z181" si="24">SUM(Q167:Y167)</f>
        <v>0.81503333333333328</v>
      </c>
      <c r="AA167" s="21">
        <f>_xlfn.RANK.EQ(Z167,$Z$167:$Z$182,0)</f>
        <v>1</v>
      </c>
      <c r="AB167" s="9" t="s">
        <v>472</v>
      </c>
    </row>
    <row r="168" spans="1:28" x14ac:dyDescent="0.35">
      <c r="A168" s="9" t="s">
        <v>126</v>
      </c>
      <c r="B168" s="62">
        <f>B147*E18</f>
        <v>0.15715000000000001</v>
      </c>
      <c r="C168" s="9">
        <f>C147*E19</f>
        <v>0.20319999999999999</v>
      </c>
      <c r="D168" s="62">
        <f>D147*E20</f>
        <v>8.861999999999999E-2</v>
      </c>
      <c r="E168" s="9">
        <f>E147*E21</f>
        <v>5.5300000000000002E-2</v>
      </c>
      <c r="F168" s="9">
        <f>F147*E22</f>
        <v>8.2799999999999999E-2</v>
      </c>
      <c r="G168" s="62">
        <f>G147*E23</f>
        <v>2.4240000000000001E-2</v>
      </c>
      <c r="H168" s="62">
        <f>H147*E24</f>
        <v>2.1049999999999999E-2</v>
      </c>
      <c r="I168" s="62">
        <f>I147*E25</f>
        <v>1.7466666666666665E-2</v>
      </c>
      <c r="J168" s="9">
        <f>J147*E26</f>
        <v>1.23E-2</v>
      </c>
      <c r="K168" s="62">
        <f t="shared" si="23"/>
        <v>0.66212666666666664</v>
      </c>
      <c r="L168" s="9"/>
      <c r="M168" s="9">
        <f t="shared" ref="M168:M182" si="25">_xlfn.RANK.EQ(K168,$K$167:$K$182,0)</f>
        <v>12</v>
      </c>
      <c r="P168" s="9" t="s">
        <v>126</v>
      </c>
      <c r="Q168" s="62">
        <f>B147*D18</f>
        <v>0.157</v>
      </c>
      <c r="R168" s="62">
        <f>C147*D19</f>
        <v>0.20300000000000001</v>
      </c>
      <c r="S168" s="62">
        <f>D147*D20</f>
        <v>8.879999999999999E-2</v>
      </c>
      <c r="T168" s="62">
        <f>E147*D21</f>
        <v>5.5500000000000001E-2</v>
      </c>
      <c r="U168" s="62">
        <f>F147*D22</f>
        <v>8.3000000000000004E-2</v>
      </c>
      <c r="V168" s="62">
        <f>G147*D23</f>
        <v>2.4400000000000002E-2</v>
      </c>
      <c r="W168" s="62">
        <f>H147*D24</f>
        <v>2.1000000000000001E-2</v>
      </c>
      <c r="X168" s="62">
        <f>I147*D25</f>
        <v>1.7333333333333333E-2</v>
      </c>
      <c r="Y168" s="62">
        <f>J147*D26</f>
        <v>1.2E-2</v>
      </c>
      <c r="Z168" s="62">
        <f t="shared" si="24"/>
        <v>0.66203333333333325</v>
      </c>
      <c r="AA168" s="21">
        <f t="shared" ref="AA168:AA182" si="26">_xlfn.RANK.EQ(Z168,$Z$167:$Z$182,0)</f>
        <v>12</v>
      </c>
      <c r="AB168" s="9" t="s">
        <v>472</v>
      </c>
    </row>
    <row r="169" spans="1:28" x14ac:dyDescent="0.35">
      <c r="A169" s="9" t="s">
        <v>127</v>
      </c>
      <c r="B169" s="62">
        <f>B148*E18</f>
        <v>0.10476666666666667</v>
      </c>
      <c r="C169" s="9">
        <f>C148*E19</f>
        <v>0.20319999999999999</v>
      </c>
      <c r="D169" s="9">
        <f>D148*E20</f>
        <v>0.1477</v>
      </c>
      <c r="E169" s="9">
        <f>E148*E21</f>
        <v>5.5300000000000002E-2</v>
      </c>
      <c r="F169" s="9">
        <f>F148*E22</f>
        <v>8.2799999999999999E-2</v>
      </c>
      <c r="G169" s="9">
        <f>G148*E23</f>
        <v>6.0600000000000001E-2</v>
      </c>
      <c r="H169" s="9">
        <f>H148*E24</f>
        <v>4.2099999999999999E-2</v>
      </c>
      <c r="I169" s="62">
        <f>I148*E25</f>
        <v>1.7466666666666665E-2</v>
      </c>
      <c r="J169" s="9">
        <f>J148*E26</f>
        <v>1.23E-2</v>
      </c>
      <c r="K169" s="62">
        <f t="shared" si="23"/>
        <v>0.72623333333333329</v>
      </c>
      <c r="L169" s="9">
        <v>10</v>
      </c>
      <c r="M169" s="9">
        <f t="shared" si="25"/>
        <v>10</v>
      </c>
      <c r="P169" s="66" t="s">
        <v>127</v>
      </c>
      <c r="Q169" s="68">
        <f>B148*D18</f>
        <v>0.10466666666666666</v>
      </c>
      <c r="R169" s="68">
        <f>C148*D19</f>
        <v>0.20300000000000001</v>
      </c>
      <c r="S169" s="68">
        <f>D148*D20</f>
        <v>0.14799999999999999</v>
      </c>
      <c r="T169" s="68">
        <f>E148*D21</f>
        <v>5.5500000000000001E-2</v>
      </c>
      <c r="U169" s="68">
        <f>F148*D22</f>
        <v>8.3000000000000004E-2</v>
      </c>
      <c r="V169" s="68">
        <f>G148*D23</f>
        <v>6.0999999999999999E-2</v>
      </c>
      <c r="W169" s="68">
        <f>H148*D24</f>
        <v>4.2000000000000003E-2</v>
      </c>
      <c r="X169" s="68">
        <f>I148*D25</f>
        <v>1.7333333333333333E-2</v>
      </c>
      <c r="Y169" s="68">
        <f>J148*D26</f>
        <v>1.2E-2</v>
      </c>
      <c r="Z169" s="68">
        <f t="shared" si="24"/>
        <v>0.72650000000000003</v>
      </c>
      <c r="AA169" s="67">
        <f t="shared" si="26"/>
        <v>9</v>
      </c>
      <c r="AB169" s="66"/>
    </row>
    <row r="170" spans="1:28" x14ac:dyDescent="0.35">
      <c r="A170" s="9" t="s">
        <v>174</v>
      </c>
      <c r="B170" s="9">
        <f>B149*E18</f>
        <v>0.31430000000000002</v>
      </c>
      <c r="C170" s="62">
        <f>C149*E19</f>
        <v>8.1280000000000005E-2</v>
      </c>
      <c r="D170" s="9">
        <f>D149*E20</f>
        <v>0.1477</v>
      </c>
      <c r="E170" s="9">
        <f>E149*E21</f>
        <v>5.5300000000000002E-2</v>
      </c>
      <c r="F170" s="9">
        <f>F149*E22</f>
        <v>8.2799999999999999E-2</v>
      </c>
      <c r="G170" s="62">
        <f>G149*E23</f>
        <v>2.4240000000000001E-2</v>
      </c>
      <c r="H170" s="9">
        <f>H149*E24</f>
        <v>4.2099999999999999E-2</v>
      </c>
      <c r="I170" s="62">
        <f>I149*E25</f>
        <v>8.7333333333333325E-3</v>
      </c>
      <c r="J170" s="9">
        <f>J149*E26</f>
        <v>1.23E-2</v>
      </c>
      <c r="K170" s="62">
        <f t="shared" si="23"/>
        <v>0.7687533333333334</v>
      </c>
      <c r="L170" s="9"/>
      <c r="M170" s="9">
        <f t="shared" si="25"/>
        <v>3</v>
      </c>
      <c r="P170" s="9" t="s">
        <v>174</v>
      </c>
      <c r="Q170" s="62">
        <f>B149*D18</f>
        <v>0.314</v>
      </c>
      <c r="R170" s="62">
        <f>C149*D19</f>
        <v>8.1200000000000008E-2</v>
      </c>
      <c r="S170" s="62">
        <f>D149*D20</f>
        <v>0.14799999999999999</v>
      </c>
      <c r="T170" s="62">
        <f>E149*D21</f>
        <v>5.5500000000000001E-2</v>
      </c>
      <c r="U170" s="62">
        <f>F149*D22</f>
        <v>8.3000000000000004E-2</v>
      </c>
      <c r="V170" s="62">
        <f>G149*D23</f>
        <v>2.4400000000000002E-2</v>
      </c>
      <c r="W170" s="62">
        <f>H149*D24</f>
        <v>4.2000000000000003E-2</v>
      </c>
      <c r="X170" s="62">
        <f>I149*D25</f>
        <v>8.6666666666666663E-3</v>
      </c>
      <c r="Y170" s="62">
        <f>J149*D26</f>
        <v>1.2E-2</v>
      </c>
      <c r="Z170" s="62">
        <f t="shared" si="24"/>
        <v>0.76876666666666671</v>
      </c>
      <c r="AA170" s="21">
        <f t="shared" si="26"/>
        <v>3</v>
      </c>
      <c r="AB170" s="9" t="s">
        <v>472</v>
      </c>
    </row>
    <row r="171" spans="1:28" x14ac:dyDescent="0.35">
      <c r="A171" s="9" t="s">
        <v>180</v>
      </c>
      <c r="B171" s="62">
        <f>B150*E18</f>
        <v>0.10476666666666667</v>
      </c>
      <c r="C171" s="62">
        <f>C150*E19</f>
        <v>0.12191999999999999</v>
      </c>
      <c r="D171" s="62">
        <f>D150*E20</f>
        <v>8.861999999999999E-2</v>
      </c>
      <c r="E171" s="9">
        <f>E150*E21</f>
        <v>5.5300000000000002E-2</v>
      </c>
      <c r="F171" s="9">
        <f>F150*E22</f>
        <v>8.2799999999999999E-2</v>
      </c>
      <c r="G171" s="62">
        <f>G150*E23</f>
        <v>2.4240000000000001E-2</v>
      </c>
      <c r="H171" s="62">
        <f>H150*E24</f>
        <v>2.1049999999999999E-2</v>
      </c>
      <c r="I171" s="62">
        <f>I150*E25</f>
        <v>1.7466666666666665E-2</v>
      </c>
      <c r="J171" s="9">
        <f>J150*E26</f>
        <v>1.23E-2</v>
      </c>
      <c r="K171" s="62">
        <f t="shared" si="23"/>
        <v>0.52846333333333328</v>
      </c>
      <c r="L171" s="9"/>
      <c r="M171" s="9">
        <f t="shared" si="25"/>
        <v>16</v>
      </c>
      <c r="P171" s="9" t="s">
        <v>180</v>
      </c>
      <c r="Q171" s="62">
        <f>B150*D18</f>
        <v>0.10466666666666666</v>
      </c>
      <c r="R171" s="62">
        <f>C150*D19</f>
        <v>0.12180000000000001</v>
      </c>
      <c r="S171" s="62">
        <f>D150*D20</f>
        <v>8.879999999999999E-2</v>
      </c>
      <c r="T171" s="62">
        <f>E150*D21</f>
        <v>5.5500000000000001E-2</v>
      </c>
      <c r="U171" s="62">
        <f>F150*D22</f>
        <v>8.3000000000000004E-2</v>
      </c>
      <c r="V171" s="62">
        <f>G150*D23</f>
        <v>2.4400000000000002E-2</v>
      </c>
      <c r="W171" s="62">
        <f>H150*D24</f>
        <v>2.1000000000000001E-2</v>
      </c>
      <c r="X171" s="62">
        <f>I150*D25</f>
        <v>1.7333333333333333E-2</v>
      </c>
      <c r="Y171" s="62">
        <f>J150*D26</f>
        <v>1.2E-2</v>
      </c>
      <c r="Z171" s="62">
        <f t="shared" si="24"/>
        <v>0.52849999999999997</v>
      </c>
      <c r="AA171" s="21">
        <f t="shared" si="26"/>
        <v>16</v>
      </c>
      <c r="AB171" s="9" t="s">
        <v>472</v>
      </c>
    </row>
    <row r="172" spans="1:28" x14ac:dyDescent="0.35">
      <c r="A172" s="9" t="s">
        <v>185</v>
      </c>
      <c r="B172" s="62">
        <f>B151*E18</f>
        <v>0.10476666666666667</v>
      </c>
      <c r="C172" s="62">
        <f>C151*E19</f>
        <v>0.16256000000000001</v>
      </c>
      <c r="D172" s="62">
        <f>D151*E20</f>
        <v>8.861999999999999E-2</v>
      </c>
      <c r="E172" s="9">
        <f>E150*E21</f>
        <v>5.5300000000000002E-2</v>
      </c>
      <c r="F172" s="9">
        <f>F151*E22</f>
        <v>8.2799999999999999E-2</v>
      </c>
      <c r="G172" s="62">
        <f>G151*E23</f>
        <v>2.4240000000000001E-2</v>
      </c>
      <c r="H172" s="9">
        <f>H151*E24</f>
        <v>4.2099999999999999E-2</v>
      </c>
      <c r="I172" s="62">
        <f>I151*E25</f>
        <v>1.7466666666666665E-2</v>
      </c>
      <c r="J172" s="9">
        <f>J151*E26</f>
        <v>1.23E-2</v>
      </c>
      <c r="K172" s="62">
        <f t="shared" si="23"/>
        <v>0.59015333333333331</v>
      </c>
      <c r="L172" s="9"/>
      <c r="M172" s="9">
        <f t="shared" si="25"/>
        <v>14</v>
      </c>
      <c r="P172" s="9" t="s">
        <v>185</v>
      </c>
      <c r="Q172" s="62">
        <f>B151*D18</f>
        <v>0.10466666666666666</v>
      </c>
      <c r="R172" s="62">
        <f>C151*D19</f>
        <v>0.16240000000000002</v>
      </c>
      <c r="S172" s="62">
        <f>D151*D20</f>
        <v>8.879999999999999E-2</v>
      </c>
      <c r="T172" s="62">
        <f>E151*D21</f>
        <v>5.5500000000000001E-2</v>
      </c>
      <c r="U172" s="62">
        <f>F151*D22</f>
        <v>8.3000000000000004E-2</v>
      </c>
      <c r="V172" s="62">
        <f>G151*D23</f>
        <v>2.4400000000000002E-2</v>
      </c>
      <c r="W172" s="62">
        <f>H151*D24</f>
        <v>4.2000000000000003E-2</v>
      </c>
      <c r="X172" s="62">
        <f>I151*D25</f>
        <v>1.7333333333333333E-2</v>
      </c>
      <c r="Y172" s="62">
        <f>J151*D26</f>
        <v>1.2E-2</v>
      </c>
      <c r="Z172" s="62">
        <f t="shared" si="24"/>
        <v>0.59010000000000007</v>
      </c>
      <c r="AA172" s="21">
        <f t="shared" si="26"/>
        <v>14</v>
      </c>
      <c r="AB172" s="9" t="s">
        <v>472</v>
      </c>
    </row>
    <row r="173" spans="1:28" x14ac:dyDescent="0.35">
      <c r="A173" s="9" t="s">
        <v>283</v>
      </c>
      <c r="B173" s="62">
        <f>B152*E18</f>
        <v>0.15715000000000001</v>
      </c>
      <c r="C173" s="62">
        <f>C152*E19</f>
        <v>0.12191999999999999</v>
      </c>
      <c r="D173" s="62">
        <f>D152*E20</f>
        <v>8.861999999999999E-2</v>
      </c>
      <c r="E173" s="9">
        <f>E152*E21</f>
        <v>5.5300000000000002E-2</v>
      </c>
      <c r="F173" s="9">
        <f>F152*E22</f>
        <v>8.2799999999999999E-2</v>
      </c>
      <c r="G173" s="62">
        <f>G152*E23</f>
        <v>2.4240000000000001E-2</v>
      </c>
      <c r="H173" s="9">
        <f>H152*E24</f>
        <v>4.2099999999999999E-2</v>
      </c>
      <c r="I173" s="62">
        <f>I152*E25</f>
        <v>1.7466666666666665E-2</v>
      </c>
      <c r="J173" s="9">
        <f>J152*E26</f>
        <v>8.199999999999999E-3</v>
      </c>
      <c r="K173" s="62">
        <f t="shared" si="23"/>
        <v>0.59779666666666664</v>
      </c>
      <c r="L173" s="9"/>
      <c r="M173" s="9">
        <f t="shared" si="25"/>
        <v>13</v>
      </c>
      <c r="P173" s="9" t="s">
        <v>283</v>
      </c>
      <c r="Q173" s="62">
        <f>B152*D18</f>
        <v>0.157</v>
      </c>
      <c r="R173" s="62">
        <f>C152*D19</f>
        <v>0.12180000000000001</v>
      </c>
      <c r="S173" s="62">
        <f>D152*D20</f>
        <v>8.879999999999999E-2</v>
      </c>
      <c r="T173" s="62">
        <f>E152*D21</f>
        <v>5.5500000000000001E-2</v>
      </c>
      <c r="U173" s="62">
        <f>F152*D22</f>
        <v>8.3000000000000004E-2</v>
      </c>
      <c r="V173" s="62">
        <f>G152*D23</f>
        <v>2.4400000000000002E-2</v>
      </c>
      <c r="W173" s="62">
        <f>H152*D24</f>
        <v>4.2000000000000003E-2</v>
      </c>
      <c r="X173" s="62">
        <f>I152*D25</f>
        <v>1.7333333333333333E-2</v>
      </c>
      <c r="Y173" s="62">
        <f>J152*D26</f>
        <v>8.0000000000000002E-3</v>
      </c>
      <c r="Z173" s="62">
        <f t="shared" si="24"/>
        <v>0.59783333333333333</v>
      </c>
      <c r="AA173" s="21">
        <f t="shared" si="26"/>
        <v>13</v>
      </c>
      <c r="AB173" s="9" t="s">
        <v>472</v>
      </c>
    </row>
    <row r="174" spans="1:28" x14ac:dyDescent="0.35">
      <c r="A174" s="9" t="s">
        <v>286</v>
      </c>
      <c r="B174" s="17">
        <f>B153*E18</f>
        <v>0.31430000000000002</v>
      </c>
      <c r="C174" s="70">
        <f>C153*E19</f>
        <v>4.0640000000000003E-2</v>
      </c>
      <c r="D174" s="17">
        <f>D153*E20</f>
        <v>0.1477</v>
      </c>
      <c r="E174" s="17">
        <f>E153*E21</f>
        <v>0.1106</v>
      </c>
      <c r="F174" s="17">
        <f>F153*E22</f>
        <v>8.2799999999999999E-2</v>
      </c>
      <c r="G174" s="70">
        <f>G154*E23</f>
        <v>2.4240000000000001E-2</v>
      </c>
      <c r="H174" s="70">
        <f>H154*E24</f>
        <v>2.1049999999999999E-2</v>
      </c>
      <c r="I174" s="70">
        <f>I154*E25</f>
        <v>1.7466666666666665E-2</v>
      </c>
      <c r="J174" s="17">
        <f>J154*E26</f>
        <v>8.199999999999999E-3</v>
      </c>
      <c r="K174" s="70">
        <f t="shared" si="23"/>
        <v>0.76699666666666666</v>
      </c>
      <c r="L174" s="17">
        <v>5</v>
      </c>
      <c r="M174" s="9">
        <f t="shared" si="25"/>
        <v>5</v>
      </c>
      <c r="P174" s="63" t="s">
        <v>286</v>
      </c>
      <c r="Q174" s="64">
        <f>B153*D18</f>
        <v>0.314</v>
      </c>
      <c r="R174" s="64">
        <f>C153*D19</f>
        <v>4.0600000000000004E-2</v>
      </c>
      <c r="S174" s="64">
        <f>D153*D20</f>
        <v>0.14799999999999999</v>
      </c>
      <c r="T174" s="64">
        <f>E153*D21</f>
        <v>0.111</v>
      </c>
      <c r="U174" s="64">
        <f>F153*D22</f>
        <v>8.3000000000000004E-2</v>
      </c>
      <c r="V174" s="64">
        <f>G153*D23</f>
        <v>2.4400000000000002E-2</v>
      </c>
      <c r="W174" s="64">
        <f>H153*D24</f>
        <v>2.1000000000000001E-2</v>
      </c>
      <c r="X174" s="64">
        <f>I153*D25</f>
        <v>1.7333333333333333E-2</v>
      </c>
      <c r="Y174" s="64">
        <f>J153*D26</f>
        <v>8.0000000000000002E-3</v>
      </c>
      <c r="Z174" s="64">
        <f t="shared" si="24"/>
        <v>0.76733333333333331</v>
      </c>
      <c r="AA174" s="65">
        <f t="shared" si="26"/>
        <v>4</v>
      </c>
      <c r="AB174" s="63"/>
    </row>
    <row r="175" spans="1:28" x14ac:dyDescent="0.35">
      <c r="A175" s="9" t="s">
        <v>287</v>
      </c>
      <c r="B175" s="62">
        <f>B154*E18</f>
        <v>0.15715000000000001</v>
      </c>
      <c r="C175" s="62">
        <f>C154*E19</f>
        <v>0.12191999999999999</v>
      </c>
      <c r="D175" s="62">
        <f>D154*E20</f>
        <v>8.861999999999999E-2</v>
      </c>
      <c r="E175" s="9">
        <f>E154*E21</f>
        <v>5.5300000000000002E-2</v>
      </c>
      <c r="F175" s="9">
        <f>F154*E22</f>
        <v>8.2799999999999999E-2</v>
      </c>
      <c r="G175" s="62">
        <f>G154*E23</f>
        <v>2.4240000000000001E-2</v>
      </c>
      <c r="H175" s="62">
        <f>H154*E24</f>
        <v>2.1049999999999999E-2</v>
      </c>
      <c r="I175" s="62">
        <f>I154*E25</f>
        <v>1.7466666666666665E-2</v>
      </c>
      <c r="J175" s="9">
        <f>J154*E26</f>
        <v>8.199999999999999E-3</v>
      </c>
      <c r="K175" s="62">
        <f t="shared" ref="K175:K182" si="27">SUM(B175:J175)</f>
        <v>0.57674666666666663</v>
      </c>
      <c r="L175" s="9"/>
      <c r="M175" s="9">
        <f t="shared" si="25"/>
        <v>15</v>
      </c>
      <c r="P175" s="9" t="s">
        <v>287</v>
      </c>
      <c r="Q175" s="62">
        <f>B154*D18</f>
        <v>0.157</v>
      </c>
      <c r="R175" s="62">
        <f>C154*D19</f>
        <v>0.12180000000000001</v>
      </c>
      <c r="S175" s="62">
        <f>D154*D20</f>
        <v>8.879999999999999E-2</v>
      </c>
      <c r="T175" s="62">
        <f>E154*D21</f>
        <v>5.5500000000000001E-2</v>
      </c>
      <c r="U175" s="62">
        <f>F154*D22</f>
        <v>8.3000000000000004E-2</v>
      </c>
      <c r="V175" s="62">
        <f>G154*D23</f>
        <v>2.4400000000000002E-2</v>
      </c>
      <c r="W175" s="62">
        <f>H154*D24</f>
        <v>2.1000000000000001E-2</v>
      </c>
      <c r="X175" s="62">
        <f>I154*D25</f>
        <v>1.7333333333333333E-2</v>
      </c>
      <c r="Y175" s="62">
        <f>J154*D26</f>
        <v>8.0000000000000002E-3</v>
      </c>
      <c r="Z175" s="62">
        <f t="shared" si="24"/>
        <v>0.57683333333333331</v>
      </c>
      <c r="AA175" s="21">
        <f t="shared" si="26"/>
        <v>15</v>
      </c>
      <c r="AB175" s="9" t="s">
        <v>472</v>
      </c>
    </row>
    <row r="176" spans="1:28" x14ac:dyDescent="0.35">
      <c r="A176" s="9" t="s">
        <v>288</v>
      </c>
      <c r="B176" s="9">
        <f>B155*E18</f>
        <v>0.31430000000000002</v>
      </c>
      <c r="C176" s="62">
        <f>C155*E19</f>
        <v>8.1280000000000005E-2</v>
      </c>
      <c r="D176" s="62">
        <f>D155*E20</f>
        <v>8.861999999999999E-2</v>
      </c>
      <c r="E176" s="9">
        <f>E155*E21</f>
        <v>5.5300000000000002E-2</v>
      </c>
      <c r="F176" s="9">
        <f>F156*E22</f>
        <v>8.2799999999999999E-2</v>
      </c>
      <c r="G176" s="70">
        <f>G155*E23</f>
        <v>2.4240000000000001E-2</v>
      </c>
      <c r="H176" s="62">
        <f>H156*E24</f>
        <v>2.1049999999999999E-2</v>
      </c>
      <c r="I176" s="62">
        <f>I156*E25</f>
        <v>1.7466666666666665E-2</v>
      </c>
      <c r="J176" s="70">
        <f>J155*E26</f>
        <v>8.199999999999999E-3</v>
      </c>
      <c r="K176" s="62">
        <f t="shared" si="27"/>
        <v>0.69325666666666663</v>
      </c>
      <c r="L176" s="9"/>
      <c r="M176" s="9">
        <f t="shared" si="25"/>
        <v>11</v>
      </c>
      <c r="P176" s="9" t="s">
        <v>288</v>
      </c>
      <c r="Q176" s="62">
        <f>B155*D18</f>
        <v>0.314</v>
      </c>
      <c r="R176" s="62">
        <f>C155*D19</f>
        <v>8.1200000000000008E-2</v>
      </c>
      <c r="S176" s="62">
        <f>D155*D20</f>
        <v>8.879999999999999E-2</v>
      </c>
      <c r="T176" s="62">
        <f>E155*D21</f>
        <v>5.5500000000000001E-2</v>
      </c>
      <c r="U176" s="62">
        <f>F155*D22</f>
        <v>8.3000000000000004E-2</v>
      </c>
      <c r="V176" s="62">
        <f>G155*D23</f>
        <v>2.4400000000000002E-2</v>
      </c>
      <c r="W176" s="62">
        <f>H155*D24</f>
        <v>2.1000000000000001E-2</v>
      </c>
      <c r="X176" s="62">
        <f>I155*D25</f>
        <v>1.7333333333333333E-2</v>
      </c>
      <c r="Y176" s="62">
        <f>J155*D26</f>
        <v>8.0000000000000002E-3</v>
      </c>
      <c r="Z176" s="62">
        <f t="shared" si="24"/>
        <v>0.69323333333333326</v>
      </c>
      <c r="AA176" s="21">
        <f t="shared" si="26"/>
        <v>11</v>
      </c>
      <c r="AB176" s="9" t="s">
        <v>472</v>
      </c>
    </row>
    <row r="177" spans="1:28" x14ac:dyDescent="0.35">
      <c r="A177" s="9" t="s">
        <v>417</v>
      </c>
      <c r="B177" s="9">
        <f>B156*E18</f>
        <v>0.31430000000000002</v>
      </c>
      <c r="C177" s="62">
        <f>C156*E19</f>
        <v>0.12191999999999999</v>
      </c>
      <c r="D177" s="62">
        <f>D156*E20</f>
        <v>8.861999999999999E-2</v>
      </c>
      <c r="E177" s="9">
        <f>E156*E21</f>
        <v>5.5300000000000002E-2</v>
      </c>
      <c r="F177" s="9">
        <f>F156*E22</f>
        <v>8.2799999999999999E-2</v>
      </c>
      <c r="G177" s="17">
        <f>G156*E23</f>
        <v>6.0600000000000001E-2</v>
      </c>
      <c r="H177" s="62">
        <f>H156*E24</f>
        <v>2.1049999999999999E-2</v>
      </c>
      <c r="I177" s="62">
        <f>I156*E25</f>
        <v>1.7466666666666665E-2</v>
      </c>
      <c r="J177" s="9">
        <f>J156*E26</f>
        <v>1.23E-2</v>
      </c>
      <c r="K177" s="62">
        <f t="shared" si="27"/>
        <v>0.77435666666666658</v>
      </c>
      <c r="L177" s="9"/>
      <c r="M177" s="9">
        <f t="shared" si="25"/>
        <v>2</v>
      </c>
      <c r="P177" s="9" t="s">
        <v>417</v>
      </c>
      <c r="Q177" s="62">
        <f>B156*D18</f>
        <v>0.314</v>
      </c>
      <c r="R177" s="62">
        <f>C156*D19</f>
        <v>0.12180000000000001</v>
      </c>
      <c r="S177" s="62">
        <f>D156*D20</f>
        <v>8.879999999999999E-2</v>
      </c>
      <c r="T177" s="62">
        <f>E156*D21</f>
        <v>5.5500000000000001E-2</v>
      </c>
      <c r="U177" s="62">
        <f>F156*D22</f>
        <v>8.3000000000000004E-2</v>
      </c>
      <c r="V177" s="62">
        <f>G156*D23</f>
        <v>6.0999999999999999E-2</v>
      </c>
      <c r="W177" s="62">
        <f>H156*D24</f>
        <v>2.1000000000000001E-2</v>
      </c>
      <c r="X177" s="62">
        <f>I156*D25</f>
        <v>1.7333333333333333E-2</v>
      </c>
      <c r="Y177" s="62">
        <f>J156*D26</f>
        <v>1.2E-2</v>
      </c>
      <c r="Z177" s="62">
        <f t="shared" si="24"/>
        <v>0.77443333333333331</v>
      </c>
      <c r="AA177" s="21">
        <f t="shared" si="26"/>
        <v>2</v>
      </c>
      <c r="AB177" s="9" t="s">
        <v>472</v>
      </c>
    </row>
    <row r="178" spans="1:28" x14ac:dyDescent="0.35">
      <c r="A178" s="9" t="s">
        <v>418</v>
      </c>
      <c r="B178" s="9">
        <f>B157*E18</f>
        <v>0.31430000000000002</v>
      </c>
      <c r="C178" s="62">
        <f>C157*E19</f>
        <v>0.12191999999999999</v>
      </c>
      <c r="D178" s="62">
        <f>D157*E20</f>
        <v>8.861999999999999E-2</v>
      </c>
      <c r="E178" s="62">
        <f>E157*E21</f>
        <v>5.5300000000000002E-2</v>
      </c>
      <c r="F178" s="9">
        <f>F157*E22</f>
        <v>8.2799999999999999E-2</v>
      </c>
      <c r="G178" s="9">
        <f>G157*E23</f>
        <v>4.0399999999999998E-2</v>
      </c>
      <c r="H178" s="9">
        <f>H157*E24</f>
        <v>4.2099999999999999E-2</v>
      </c>
      <c r="I178" s="62">
        <f>I157*E25</f>
        <v>1.7466666666666665E-2</v>
      </c>
      <c r="J178" s="9">
        <f>J157*E26</f>
        <v>4.0999999999999995E-3</v>
      </c>
      <c r="K178" s="62">
        <f>SUM(B178:J178)</f>
        <v>0.76700666666666661</v>
      </c>
      <c r="L178" s="9">
        <v>4</v>
      </c>
      <c r="M178" s="9">
        <f t="shared" si="25"/>
        <v>4</v>
      </c>
      <c r="P178" s="63" t="s">
        <v>418</v>
      </c>
      <c r="Q178" s="64">
        <f>B157*D18</f>
        <v>0.314</v>
      </c>
      <c r="R178" s="64">
        <f>C157*D19</f>
        <v>0.12180000000000001</v>
      </c>
      <c r="S178" s="64">
        <f>D157*D20</f>
        <v>8.879999999999999E-2</v>
      </c>
      <c r="T178" s="64">
        <f>E157*D21</f>
        <v>5.5500000000000001E-2</v>
      </c>
      <c r="U178" s="64">
        <f>F157*D22</f>
        <v>8.3000000000000004E-2</v>
      </c>
      <c r="V178" s="64">
        <f>G157*D23</f>
        <v>4.0666666666666663E-2</v>
      </c>
      <c r="W178" s="64">
        <f>H157*D24</f>
        <v>4.2000000000000003E-2</v>
      </c>
      <c r="X178" s="64">
        <f>I157*D25</f>
        <v>1.7333333333333333E-2</v>
      </c>
      <c r="Y178" s="64">
        <f>J157*D26</f>
        <v>4.0000000000000001E-3</v>
      </c>
      <c r="Z178" s="64">
        <f t="shared" si="24"/>
        <v>0.76709999999999989</v>
      </c>
      <c r="AA178" s="65">
        <f t="shared" si="26"/>
        <v>5</v>
      </c>
      <c r="AB178" s="63"/>
    </row>
    <row r="179" spans="1:28" x14ac:dyDescent="0.35">
      <c r="A179" s="9" t="s">
        <v>419</v>
      </c>
      <c r="B179" s="9">
        <f>B158*E18</f>
        <v>0.31430000000000002</v>
      </c>
      <c r="C179" s="62">
        <f>C158*E19</f>
        <v>0.12191999999999999</v>
      </c>
      <c r="D179" s="62">
        <f>D158*E20</f>
        <v>8.861999999999999E-2</v>
      </c>
      <c r="E179" s="9">
        <f>E158*E21</f>
        <v>5.5300000000000002E-2</v>
      </c>
      <c r="F179" s="9">
        <f>F158*E22</f>
        <v>8.2799999999999999E-2</v>
      </c>
      <c r="G179" s="62">
        <f>G158*E23</f>
        <v>2.4240000000000001E-2</v>
      </c>
      <c r="H179" s="9">
        <f>H158*E24</f>
        <v>4.2099999999999999E-2</v>
      </c>
      <c r="I179" s="62">
        <f>I158*E25</f>
        <v>1.7466666666666665E-2</v>
      </c>
      <c r="J179" s="9">
        <f>J158*E26</f>
        <v>4.0999999999999995E-3</v>
      </c>
      <c r="K179" s="62">
        <f t="shared" si="27"/>
        <v>0.75084666666666666</v>
      </c>
      <c r="L179" s="9"/>
      <c r="M179" s="9">
        <f t="shared" si="25"/>
        <v>7</v>
      </c>
      <c r="P179" s="9" t="s">
        <v>419</v>
      </c>
      <c r="Q179" s="62">
        <f>B158*D18</f>
        <v>0.314</v>
      </c>
      <c r="R179" s="62">
        <f>C158*D19</f>
        <v>0.12180000000000001</v>
      </c>
      <c r="S179" s="62">
        <f>D158*D20</f>
        <v>8.879999999999999E-2</v>
      </c>
      <c r="T179" s="62">
        <f>E158*D21</f>
        <v>5.5500000000000001E-2</v>
      </c>
      <c r="U179" s="62">
        <f>F158*D22</f>
        <v>8.3000000000000004E-2</v>
      </c>
      <c r="V179" s="62">
        <f>G158*D23</f>
        <v>2.4400000000000002E-2</v>
      </c>
      <c r="W179" s="62">
        <f>H158*D24</f>
        <v>4.2000000000000003E-2</v>
      </c>
      <c r="X179" s="62">
        <f>I158*D25</f>
        <v>1.7333333333333333E-2</v>
      </c>
      <c r="Y179" s="62">
        <f>J158*D26</f>
        <v>4.0000000000000001E-3</v>
      </c>
      <c r="Z179" s="62">
        <f t="shared" si="24"/>
        <v>0.75083333333333324</v>
      </c>
      <c r="AA179" s="21">
        <f t="shared" si="26"/>
        <v>7</v>
      </c>
      <c r="AB179" s="9" t="s">
        <v>472</v>
      </c>
    </row>
    <row r="180" spans="1:28" x14ac:dyDescent="0.35">
      <c r="A180" s="9" t="s">
        <v>420</v>
      </c>
      <c r="B180" s="9">
        <f>B159*E18</f>
        <v>0.31430000000000002</v>
      </c>
      <c r="C180" s="62">
        <f>C159*E19</f>
        <v>8.1280000000000005E-2</v>
      </c>
      <c r="D180" s="62">
        <f>D159*E20</f>
        <v>0.11816</v>
      </c>
      <c r="E180" s="9">
        <f>E159*E21</f>
        <v>5.5300000000000002E-2</v>
      </c>
      <c r="F180" s="9">
        <f>F159*E22</f>
        <v>8.2799999999999999E-2</v>
      </c>
      <c r="G180" s="62">
        <f>G159*E23</f>
        <v>2.4240000000000001E-2</v>
      </c>
      <c r="H180" s="9">
        <f>H159*E24</f>
        <v>4.2099999999999999E-2</v>
      </c>
      <c r="I180" s="62">
        <f>I159*E25</f>
        <v>1.7466666666666665E-2</v>
      </c>
      <c r="J180" s="9">
        <f>J159*E26</f>
        <v>8.199999999999999E-3</v>
      </c>
      <c r="K180" s="62">
        <f t="shared" si="27"/>
        <v>0.74384666666666677</v>
      </c>
      <c r="L180" s="9"/>
      <c r="M180" s="9">
        <f t="shared" si="25"/>
        <v>8</v>
      </c>
      <c r="P180" s="9" t="s">
        <v>420</v>
      </c>
      <c r="Q180" s="62">
        <f>B159*D18</f>
        <v>0.314</v>
      </c>
      <c r="R180" s="62">
        <f>C159*D19</f>
        <v>8.1200000000000008E-2</v>
      </c>
      <c r="S180" s="62">
        <f>D159*D20</f>
        <v>0.11840000000000001</v>
      </c>
      <c r="T180" s="62">
        <f>E159*D21</f>
        <v>5.5500000000000001E-2</v>
      </c>
      <c r="U180" s="62">
        <f>F159*D22</f>
        <v>8.3000000000000004E-2</v>
      </c>
      <c r="V180" s="62">
        <f>G159*D23</f>
        <v>2.4400000000000002E-2</v>
      </c>
      <c r="W180" s="62">
        <f>H159*D24</f>
        <v>4.2000000000000003E-2</v>
      </c>
      <c r="X180" s="62">
        <f>I159*D25</f>
        <v>1.7333333333333333E-2</v>
      </c>
      <c r="Y180" s="62">
        <f>J159*D26</f>
        <v>8.0000000000000002E-3</v>
      </c>
      <c r="Z180" s="62">
        <f t="shared" si="24"/>
        <v>0.74383333333333335</v>
      </c>
      <c r="AA180" s="21">
        <f t="shared" si="26"/>
        <v>8</v>
      </c>
      <c r="AB180" s="9" t="s">
        <v>472</v>
      </c>
    </row>
    <row r="181" spans="1:28" x14ac:dyDescent="0.35">
      <c r="A181" s="9" t="s">
        <v>421</v>
      </c>
      <c r="B181" s="9">
        <f>B160*E18</f>
        <v>0.31430000000000002</v>
      </c>
      <c r="C181" s="62">
        <f>C160*E19</f>
        <v>0.12191999999999999</v>
      </c>
      <c r="D181" s="62">
        <f>D160*E20</f>
        <v>8.861999999999999E-2</v>
      </c>
      <c r="E181" s="9">
        <f>E160*E21</f>
        <v>5.5300000000000002E-2</v>
      </c>
      <c r="F181" s="9">
        <f>F160*E22</f>
        <v>4.1399999999999999E-2</v>
      </c>
      <c r="G181" s="62">
        <f>G160*E23</f>
        <v>2.4240000000000001E-2</v>
      </c>
      <c r="H181" s="9">
        <f>H160*E24</f>
        <v>4.2099999999999999E-2</v>
      </c>
      <c r="I181" s="9">
        <f>I160*E25</f>
        <v>2.6200000000000001E-2</v>
      </c>
      <c r="J181" s="9">
        <f>J160*E26</f>
        <v>1.23E-2</v>
      </c>
      <c r="K181" s="62">
        <f t="shared" si="27"/>
        <v>0.72638000000000003</v>
      </c>
      <c r="L181" s="9">
        <v>9</v>
      </c>
      <c r="M181" s="9">
        <f t="shared" si="25"/>
        <v>9</v>
      </c>
      <c r="P181" s="66" t="s">
        <v>421</v>
      </c>
      <c r="Q181" s="68">
        <f>B160*D18</f>
        <v>0.314</v>
      </c>
      <c r="R181" s="68">
        <f>C160*D19</f>
        <v>0.12180000000000001</v>
      </c>
      <c r="S181" s="68">
        <f>D160*D20</f>
        <v>8.879999999999999E-2</v>
      </c>
      <c r="T181" s="68">
        <f>E160*D21</f>
        <v>5.5500000000000001E-2</v>
      </c>
      <c r="U181" s="68">
        <f>F160*D22</f>
        <v>4.1500000000000002E-2</v>
      </c>
      <c r="V181" s="68">
        <f>G160*D23</f>
        <v>2.4400000000000002E-2</v>
      </c>
      <c r="W181" s="68">
        <f>H160*D24</f>
        <v>4.2000000000000003E-2</v>
      </c>
      <c r="X181" s="68">
        <f>I160*D25</f>
        <v>2.5999999999999999E-2</v>
      </c>
      <c r="Y181" s="68">
        <f>J160*D26</f>
        <v>1.2E-2</v>
      </c>
      <c r="Z181" s="68">
        <f t="shared" si="24"/>
        <v>0.72599999999999998</v>
      </c>
      <c r="AA181" s="67">
        <f t="shared" si="26"/>
        <v>10</v>
      </c>
      <c r="AB181" s="66"/>
    </row>
    <row r="182" spans="1:28" x14ac:dyDescent="0.35">
      <c r="A182" s="9" t="s">
        <v>422</v>
      </c>
      <c r="B182" s="9">
        <f>B161*E18</f>
        <v>0.31430000000000002</v>
      </c>
      <c r="C182" s="62">
        <f>C161*E19</f>
        <v>0.12191999999999999</v>
      </c>
      <c r="D182" s="62">
        <f>D161*E20</f>
        <v>8.861999999999999E-2</v>
      </c>
      <c r="E182" s="9">
        <f>E161*E21</f>
        <v>5.5300000000000002E-2</v>
      </c>
      <c r="F182" s="9">
        <f>F161*E22</f>
        <v>8.2799999999999999E-2</v>
      </c>
      <c r="G182" s="62">
        <f>G161*E23</f>
        <v>2.4240000000000001E-2</v>
      </c>
      <c r="H182" s="9">
        <f>H161*E24</f>
        <v>4.2099999999999999E-2</v>
      </c>
      <c r="I182" s="62">
        <f>I161*E25</f>
        <v>1.7466666666666665E-2</v>
      </c>
      <c r="J182" s="9">
        <f>J161*E26</f>
        <v>1.23E-2</v>
      </c>
      <c r="K182" s="62">
        <f t="shared" si="27"/>
        <v>0.75904666666666665</v>
      </c>
      <c r="L182" s="9"/>
      <c r="M182" s="9">
        <f t="shared" si="25"/>
        <v>6</v>
      </c>
      <c r="P182" s="9" t="s">
        <v>422</v>
      </c>
      <c r="Q182" s="62">
        <f>B161*D18</f>
        <v>0.314</v>
      </c>
      <c r="R182" s="62">
        <f>C161*D19</f>
        <v>0.12180000000000001</v>
      </c>
      <c r="S182" s="62">
        <f>D161*D20</f>
        <v>8.879999999999999E-2</v>
      </c>
      <c r="T182" s="62">
        <f>E161*D21</f>
        <v>5.5500000000000001E-2</v>
      </c>
      <c r="U182" s="62">
        <f>F161*D22</f>
        <v>8.3000000000000004E-2</v>
      </c>
      <c r="V182" s="62">
        <f>G161*D23</f>
        <v>2.4400000000000002E-2</v>
      </c>
      <c r="W182" s="62">
        <f>H161*D24</f>
        <v>4.2000000000000003E-2</v>
      </c>
      <c r="X182" s="62">
        <f>I161*D25</f>
        <v>1.7333333333333333E-2</v>
      </c>
      <c r="Y182" s="62">
        <f>J161*D26</f>
        <v>1.2E-2</v>
      </c>
      <c r="Z182" s="62">
        <f>SUM(Q182:Y182)</f>
        <v>0.75883333333333325</v>
      </c>
      <c r="AA182" s="21">
        <f t="shared" si="26"/>
        <v>6</v>
      </c>
      <c r="AB182" s="9" t="s">
        <v>472</v>
      </c>
    </row>
    <row r="185" spans="1:28" x14ac:dyDescent="0.35">
      <c r="P185" t="s">
        <v>286</v>
      </c>
      <c r="Q185">
        <f>B153*D18</f>
        <v>0.314</v>
      </c>
      <c r="R185">
        <f>C153*D19</f>
        <v>4.0600000000000004E-2</v>
      </c>
      <c r="S185">
        <f>D153* D20</f>
        <v>0.14799999999999999</v>
      </c>
      <c r="T185">
        <f>E153*D21</f>
        <v>0.111</v>
      </c>
      <c r="U185">
        <f>G153*D22</f>
        <v>3.32E-2</v>
      </c>
      <c r="V185">
        <f>G153*D23</f>
        <v>2.4400000000000002E-2</v>
      </c>
      <c r="W185">
        <f>H153*D24</f>
        <v>2.1000000000000001E-2</v>
      </c>
      <c r="X185">
        <f>I153*D25</f>
        <v>1.7333333333333333E-2</v>
      </c>
      <c r="Y185">
        <f>J153*D26</f>
        <v>8.0000000000000002E-3</v>
      </c>
      <c r="Z185">
        <f>SUM(Q185:Y185)</f>
        <v>0.71753333333333336</v>
      </c>
    </row>
    <row r="187" spans="1:28" x14ac:dyDescent="0.35">
      <c r="P187" t="s">
        <v>473</v>
      </c>
      <c r="Q187">
        <f>B153*D18</f>
        <v>0.314</v>
      </c>
      <c r="R187">
        <f>C153*D19</f>
        <v>4.0600000000000004E-2</v>
      </c>
      <c r="S187">
        <f>D153*D20</f>
        <v>0.14799999999999999</v>
      </c>
      <c r="T187">
        <f>E153*D21</f>
        <v>0.111</v>
      </c>
      <c r="U187">
        <f>F153*D22</f>
        <v>8.3000000000000004E-2</v>
      </c>
      <c r="V187">
        <f>G153*D23</f>
        <v>2.4400000000000002E-2</v>
      </c>
      <c r="W187">
        <f>H153*D24</f>
        <v>2.1000000000000001E-2</v>
      </c>
      <c r="X187">
        <f>I153*D25</f>
        <v>1.7333333333333333E-2</v>
      </c>
      <c r="Y187">
        <f>J153*D26</f>
        <v>8.0000000000000002E-3</v>
      </c>
      <c r="Z187">
        <f>SUM(Q187:Y187)</f>
        <v>0.76733333333333331</v>
      </c>
    </row>
    <row r="189" spans="1:28" x14ac:dyDescent="0.35">
      <c r="P189" t="s">
        <v>474</v>
      </c>
      <c r="Q189">
        <f>B157*D18</f>
        <v>0.314</v>
      </c>
      <c r="R189">
        <f>C157*D19</f>
        <v>0.12180000000000001</v>
      </c>
      <c r="S189">
        <f>D157*D20</f>
        <v>8.879999999999999E-2</v>
      </c>
      <c r="T189">
        <f>E157*D21</f>
        <v>5.5500000000000001E-2</v>
      </c>
      <c r="U189">
        <f>F157*D22</f>
        <v>8.3000000000000004E-2</v>
      </c>
      <c r="V189">
        <f>G157*D23</f>
        <v>4.0666666666666663E-2</v>
      </c>
      <c r="W189">
        <f>H157*D24</f>
        <v>4.2000000000000003E-2</v>
      </c>
      <c r="X189">
        <f>I157*D25</f>
        <v>1.7333333333333333E-2</v>
      </c>
      <c r="Y189">
        <f>J157*D26</f>
        <v>4.0000000000000001E-3</v>
      </c>
      <c r="Z189">
        <f>SUM(Q189:Y189)</f>
        <v>0.76709999999999989</v>
      </c>
    </row>
  </sheetData>
  <phoneticPr fontId="1" type="noConversion"/>
  <conditionalFormatting sqref="L49">
    <cfRule type="duplicateValues" dxfId="4" priority="3"/>
  </conditionalFormatting>
  <conditionalFormatting sqref="L50">
    <cfRule type="duplicateValues" dxfId="3" priority="1"/>
  </conditionalFormatting>
  <conditionalFormatting sqref="L57:L63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EF4C-9567-4F69-A103-F367FD8FD456}">
  <dimension ref="A1:AD189"/>
  <sheetViews>
    <sheetView topLeftCell="A40" zoomScale="112" zoomScaleNormal="79" workbookViewId="0">
      <selection activeCell="C56" sqref="C56"/>
    </sheetView>
  </sheetViews>
  <sheetFormatPr defaultRowHeight="14.5" x14ac:dyDescent="0.35"/>
  <cols>
    <col min="1" max="1" width="19.6328125" customWidth="1"/>
    <col min="2" max="2" width="18.81640625" customWidth="1"/>
    <col min="3" max="4" width="10.1796875" customWidth="1"/>
    <col min="5" max="5" width="20.453125" customWidth="1"/>
    <col min="6" max="6" width="11" bestFit="1" customWidth="1"/>
    <col min="7" max="7" width="27.453125" customWidth="1"/>
    <col min="8" max="8" width="10.54296875" customWidth="1"/>
    <col min="9" max="9" width="11.08984375" customWidth="1"/>
    <col min="10" max="11" width="14.453125" customWidth="1"/>
    <col min="12" max="13" width="15.81640625" customWidth="1"/>
    <col min="14" max="14" width="13" customWidth="1"/>
    <col min="15" max="15" width="11.453125" customWidth="1"/>
    <col min="17" max="17" width="20.1796875" customWidth="1"/>
    <col min="20" max="20" width="19.453125" customWidth="1"/>
    <col min="21" max="21" width="20.36328125" customWidth="1"/>
  </cols>
  <sheetData>
    <row r="1" spans="1:21" x14ac:dyDescent="0.35">
      <c r="A1" t="s">
        <v>109</v>
      </c>
      <c r="F1" t="s">
        <v>123</v>
      </c>
    </row>
    <row r="2" spans="1:21" ht="15" thickBot="1" x14ac:dyDescent="0.4">
      <c r="A2" s="9" t="s">
        <v>110</v>
      </c>
      <c r="B2" s="9" t="s">
        <v>128</v>
      </c>
    </row>
    <row r="3" spans="1:21" ht="16" thickBot="1" x14ac:dyDescent="0.4">
      <c r="A3" s="9" t="s">
        <v>17</v>
      </c>
      <c r="B3" s="28" t="s">
        <v>27</v>
      </c>
      <c r="F3" t="s">
        <v>17</v>
      </c>
      <c r="G3" t="s">
        <v>27</v>
      </c>
      <c r="J3" t="s">
        <v>20</v>
      </c>
      <c r="L3" t="s">
        <v>3</v>
      </c>
      <c r="P3" t="s">
        <v>23</v>
      </c>
      <c r="Q3" t="s">
        <v>47</v>
      </c>
    </row>
    <row r="4" spans="1:21" ht="16" thickBot="1" x14ac:dyDescent="0.4">
      <c r="A4" s="9" t="s">
        <v>18</v>
      </c>
      <c r="B4" s="29" t="s">
        <v>1</v>
      </c>
      <c r="G4" t="s">
        <v>26</v>
      </c>
      <c r="H4" t="s">
        <v>11</v>
      </c>
      <c r="L4" t="s">
        <v>26</v>
      </c>
      <c r="N4" t="s">
        <v>11</v>
      </c>
      <c r="Q4" t="s">
        <v>26</v>
      </c>
      <c r="R4" t="s">
        <v>11</v>
      </c>
    </row>
    <row r="5" spans="1:21" ht="16" thickBot="1" x14ac:dyDescent="0.4">
      <c r="A5" s="9" t="s">
        <v>19</v>
      </c>
      <c r="B5" s="29" t="s">
        <v>2</v>
      </c>
      <c r="G5" s="45" t="s">
        <v>459</v>
      </c>
      <c r="H5">
        <v>1</v>
      </c>
      <c r="L5" t="s">
        <v>505</v>
      </c>
      <c r="N5">
        <v>1</v>
      </c>
      <c r="Q5" t="s">
        <v>263</v>
      </c>
      <c r="R5">
        <v>1</v>
      </c>
    </row>
    <row r="6" spans="1:21" ht="31.5" thickBot="1" x14ac:dyDescent="0.4">
      <c r="A6" s="9" t="s">
        <v>20</v>
      </c>
      <c r="B6" s="29" t="s">
        <v>3</v>
      </c>
      <c r="G6" s="53" t="s">
        <v>129</v>
      </c>
      <c r="H6">
        <v>2</v>
      </c>
      <c r="L6" t="s">
        <v>319</v>
      </c>
      <c r="N6">
        <v>2</v>
      </c>
      <c r="Q6" t="s">
        <v>264</v>
      </c>
      <c r="R6">
        <v>2</v>
      </c>
    </row>
    <row r="7" spans="1:21" ht="31.5" thickBot="1" x14ac:dyDescent="0.4">
      <c r="A7" s="9" t="s">
        <v>21</v>
      </c>
      <c r="B7" s="29" t="s">
        <v>4</v>
      </c>
      <c r="G7" s="53" t="s">
        <v>130</v>
      </c>
      <c r="H7">
        <v>3</v>
      </c>
      <c r="L7" t="s">
        <v>321</v>
      </c>
      <c r="N7">
        <v>3</v>
      </c>
    </row>
    <row r="8" spans="1:21" ht="31.5" thickBot="1" x14ac:dyDescent="0.4">
      <c r="A8" s="9" t="s">
        <v>22</v>
      </c>
      <c r="B8" s="29" t="s">
        <v>290</v>
      </c>
      <c r="G8" s="53" t="s">
        <v>131</v>
      </c>
      <c r="H8">
        <v>4</v>
      </c>
      <c r="L8" t="s">
        <v>504</v>
      </c>
      <c r="N8">
        <v>4</v>
      </c>
    </row>
    <row r="9" spans="1:21" ht="16" thickBot="1" x14ac:dyDescent="0.4">
      <c r="A9" s="9" t="s">
        <v>23</v>
      </c>
      <c r="B9" s="29" t="s">
        <v>291</v>
      </c>
      <c r="G9" s="53" t="s">
        <v>372</v>
      </c>
      <c r="H9">
        <v>5</v>
      </c>
    </row>
    <row r="10" spans="1:21" ht="16" thickBot="1" x14ac:dyDescent="0.4">
      <c r="A10" s="9" t="s">
        <v>24</v>
      </c>
      <c r="B10" s="29" t="s">
        <v>33</v>
      </c>
    </row>
    <row r="11" spans="1:21" ht="31.5" thickBot="1" x14ac:dyDescent="0.4">
      <c r="A11" s="9" t="s">
        <v>25</v>
      </c>
      <c r="B11" s="29" t="s">
        <v>292</v>
      </c>
      <c r="F11" t="s">
        <v>18</v>
      </c>
      <c r="G11" s="1" t="s">
        <v>1</v>
      </c>
      <c r="J11" t="s">
        <v>21</v>
      </c>
      <c r="L11" t="s">
        <v>4</v>
      </c>
      <c r="P11" t="s">
        <v>24</v>
      </c>
      <c r="Q11" t="s">
        <v>151</v>
      </c>
    </row>
    <row r="12" spans="1:21" ht="15" thickBot="1" x14ac:dyDescent="0.4">
      <c r="A12" s="9"/>
      <c r="B12" s="17"/>
      <c r="G12" t="s">
        <v>26</v>
      </c>
      <c r="H12" t="s">
        <v>11</v>
      </c>
      <c r="L12" t="s">
        <v>26</v>
      </c>
      <c r="N12" t="s">
        <v>11</v>
      </c>
      <c r="Q12" t="s">
        <v>26</v>
      </c>
      <c r="R12" t="s">
        <v>11</v>
      </c>
    </row>
    <row r="13" spans="1:21" ht="15" thickBot="1" x14ac:dyDescent="0.4">
      <c r="B13" s="15"/>
      <c r="G13" t="s">
        <v>103</v>
      </c>
      <c r="H13">
        <v>1</v>
      </c>
      <c r="L13" t="s">
        <v>322</v>
      </c>
      <c r="N13">
        <v>1</v>
      </c>
      <c r="Q13" s="46" t="s">
        <v>134</v>
      </c>
      <c r="R13">
        <v>1</v>
      </c>
      <c r="T13" t="s">
        <v>489</v>
      </c>
      <c r="U13" t="s">
        <v>373</v>
      </c>
    </row>
    <row r="14" spans="1:21" ht="29.5" thickBot="1" x14ac:dyDescent="0.4">
      <c r="B14" s="15"/>
      <c r="G14" t="s">
        <v>369</v>
      </c>
      <c r="H14">
        <v>2</v>
      </c>
      <c r="L14" s="3" t="s">
        <v>323</v>
      </c>
      <c r="M14" s="3"/>
      <c r="N14">
        <v>2</v>
      </c>
      <c r="Q14" s="47" t="s">
        <v>168</v>
      </c>
      <c r="R14">
        <v>2</v>
      </c>
      <c r="T14" t="s">
        <v>168</v>
      </c>
      <c r="U14" t="s">
        <v>133</v>
      </c>
    </row>
    <row r="15" spans="1:21" x14ac:dyDescent="0.35">
      <c r="A15" s="18" t="s">
        <v>108</v>
      </c>
      <c r="B15" s="15"/>
      <c r="G15" t="s">
        <v>370</v>
      </c>
      <c r="H15">
        <v>3</v>
      </c>
      <c r="Q15" t="s">
        <v>266</v>
      </c>
      <c r="R15">
        <v>3</v>
      </c>
      <c r="T15" t="s">
        <v>295</v>
      </c>
      <c r="U15" t="s">
        <v>490</v>
      </c>
    </row>
    <row r="16" spans="1:21" x14ac:dyDescent="0.35">
      <c r="A16" s="9"/>
      <c r="B16" s="15"/>
      <c r="G16" t="s">
        <v>371</v>
      </c>
      <c r="H16">
        <v>4</v>
      </c>
    </row>
    <row r="17" spans="1:21" x14ac:dyDescent="0.35">
      <c r="A17" s="15" t="s">
        <v>110</v>
      </c>
      <c r="B17" s="15" t="s">
        <v>111</v>
      </c>
      <c r="C17" s="15" t="s">
        <v>11</v>
      </c>
      <c r="D17" s="15"/>
      <c r="G17" t="s">
        <v>314</v>
      </c>
      <c r="H17">
        <v>5</v>
      </c>
      <c r="L17" s="3"/>
      <c r="M17" s="3"/>
    </row>
    <row r="18" spans="1:21" x14ac:dyDescent="0.35">
      <c r="A18" s="9" t="s">
        <v>17</v>
      </c>
      <c r="B18" s="15" t="s">
        <v>112</v>
      </c>
      <c r="C18" s="15">
        <v>0.31</v>
      </c>
      <c r="D18" s="27">
        <v>0.314</v>
      </c>
      <c r="E18">
        <v>0.31430000000000002</v>
      </c>
      <c r="P18" t="s">
        <v>25</v>
      </c>
      <c r="Q18" t="s">
        <v>32</v>
      </c>
    </row>
    <row r="19" spans="1:21" x14ac:dyDescent="0.35">
      <c r="A19" s="9" t="s">
        <v>18</v>
      </c>
      <c r="B19" s="15" t="s">
        <v>113</v>
      </c>
      <c r="C19" s="15">
        <v>0.2</v>
      </c>
      <c r="D19" s="69">
        <v>0.20300000000000001</v>
      </c>
      <c r="E19">
        <v>0.20319999999999999</v>
      </c>
      <c r="Q19" t="s">
        <v>26</v>
      </c>
      <c r="R19" t="s">
        <v>11</v>
      </c>
    </row>
    <row r="20" spans="1:21" x14ac:dyDescent="0.35">
      <c r="A20" s="9" t="s">
        <v>19</v>
      </c>
      <c r="B20" s="15" t="s">
        <v>114</v>
      </c>
      <c r="C20" s="15">
        <v>0.15</v>
      </c>
      <c r="D20" s="27">
        <v>0.14799999999999999</v>
      </c>
      <c r="E20">
        <v>0.1477</v>
      </c>
      <c r="Q20" t="s">
        <v>134</v>
      </c>
      <c r="R20">
        <v>1</v>
      </c>
      <c r="T20" t="s">
        <v>134</v>
      </c>
      <c r="U20" t="s">
        <v>487</v>
      </c>
    </row>
    <row r="21" spans="1:21" x14ac:dyDescent="0.35">
      <c r="A21" s="9" t="s">
        <v>20</v>
      </c>
      <c r="B21" s="15" t="s">
        <v>115</v>
      </c>
      <c r="C21" s="15">
        <v>0.11</v>
      </c>
      <c r="D21" s="27">
        <v>0.111</v>
      </c>
      <c r="E21">
        <v>0.1106</v>
      </c>
      <c r="F21" t="s">
        <v>19</v>
      </c>
      <c r="G21" t="s">
        <v>2</v>
      </c>
      <c r="J21" t="s">
        <v>22</v>
      </c>
      <c r="L21" t="s">
        <v>5</v>
      </c>
      <c r="Q21" t="s">
        <v>295</v>
      </c>
      <c r="R21">
        <v>2</v>
      </c>
    </row>
    <row r="22" spans="1:21" x14ac:dyDescent="0.35">
      <c r="A22" s="9" t="s">
        <v>21</v>
      </c>
      <c r="B22" s="15" t="s">
        <v>116</v>
      </c>
      <c r="C22" s="15">
        <v>0.08</v>
      </c>
      <c r="D22" s="27">
        <v>8.3000000000000004E-2</v>
      </c>
      <c r="E22">
        <v>8.2799999999999999E-2</v>
      </c>
      <c r="G22" t="s">
        <v>30</v>
      </c>
      <c r="H22" t="s">
        <v>11</v>
      </c>
      <c r="L22" t="s">
        <v>26</v>
      </c>
      <c r="N22" t="s">
        <v>11</v>
      </c>
    </row>
    <row r="23" spans="1:21" x14ac:dyDescent="0.35">
      <c r="A23" s="9" t="s">
        <v>22</v>
      </c>
      <c r="B23" s="15" t="s">
        <v>117</v>
      </c>
      <c r="C23" s="15">
        <v>0.06</v>
      </c>
      <c r="D23" s="27">
        <v>6.0999999999999999E-2</v>
      </c>
      <c r="E23">
        <v>6.0600000000000001E-2</v>
      </c>
      <c r="G23" t="s">
        <v>315</v>
      </c>
      <c r="H23">
        <v>1</v>
      </c>
      <c r="L23" s="54">
        <v>0.875</v>
      </c>
      <c r="M23" s="54"/>
      <c r="N23">
        <v>1</v>
      </c>
    </row>
    <row r="24" spans="1:21" x14ac:dyDescent="0.35">
      <c r="A24" s="9" t="s">
        <v>23</v>
      </c>
      <c r="B24" s="15" t="s">
        <v>118</v>
      </c>
      <c r="C24" s="15">
        <v>0.04</v>
      </c>
      <c r="D24" s="27">
        <v>4.2000000000000003E-2</v>
      </c>
      <c r="E24">
        <v>4.2099999999999999E-2</v>
      </c>
      <c r="G24" t="s">
        <v>316</v>
      </c>
      <c r="H24">
        <v>2</v>
      </c>
      <c r="L24" s="54">
        <v>0.91666666666666663</v>
      </c>
      <c r="M24" s="54"/>
      <c r="N24">
        <v>2</v>
      </c>
    </row>
    <row r="25" spans="1:21" x14ac:dyDescent="0.35">
      <c r="A25" s="9" t="s">
        <v>24</v>
      </c>
      <c r="B25" s="15" t="s">
        <v>119</v>
      </c>
      <c r="C25" s="15">
        <v>0.03</v>
      </c>
      <c r="D25" s="27">
        <v>2.5999999999999999E-2</v>
      </c>
      <c r="E25">
        <v>2.6200000000000001E-2</v>
      </c>
      <c r="G25" t="s">
        <v>317</v>
      </c>
      <c r="H25">
        <v>3</v>
      </c>
      <c r="L25" s="54">
        <v>0.95833333333333337</v>
      </c>
      <c r="M25" s="54"/>
      <c r="N25">
        <v>3</v>
      </c>
    </row>
    <row r="26" spans="1:21" x14ac:dyDescent="0.35">
      <c r="A26" s="9" t="s">
        <v>25</v>
      </c>
      <c r="B26" s="15" t="s">
        <v>120</v>
      </c>
      <c r="C26" s="15">
        <v>0.01</v>
      </c>
      <c r="D26" s="27">
        <v>1.2E-2</v>
      </c>
      <c r="E26">
        <v>1.23E-2</v>
      </c>
      <c r="G26" t="s">
        <v>318</v>
      </c>
      <c r="H26">
        <v>4</v>
      </c>
      <c r="L26" s="58">
        <v>1</v>
      </c>
      <c r="M26" s="58"/>
      <c r="N26">
        <v>4</v>
      </c>
    </row>
    <row r="27" spans="1:21" x14ac:dyDescent="0.35">
      <c r="A27" s="9"/>
      <c r="B27" s="15"/>
      <c r="C27" s="15">
        <f>SUM(C18:C26)</f>
        <v>0.99</v>
      </c>
      <c r="D27" s="27">
        <f>SUM(D18:D26)</f>
        <v>1</v>
      </c>
      <c r="E27">
        <f>SUM(E18:E26)</f>
        <v>0.99980000000000002</v>
      </c>
      <c r="G27" t="s">
        <v>460</v>
      </c>
      <c r="H27">
        <v>5</v>
      </c>
      <c r="L27" t="s">
        <v>303</v>
      </c>
      <c r="N27">
        <v>5</v>
      </c>
    </row>
    <row r="28" spans="1:21" ht="29" x14ac:dyDescent="0.35">
      <c r="A28" s="4"/>
      <c r="B28" s="4"/>
      <c r="C28" s="42" t="s">
        <v>307</v>
      </c>
      <c r="D28" s="43" t="s">
        <v>308</v>
      </c>
      <c r="E28" t="s">
        <v>475</v>
      </c>
    </row>
    <row r="30" spans="1:21" x14ac:dyDescent="0.35">
      <c r="A30" s="18" t="s">
        <v>121</v>
      </c>
    </row>
    <row r="32" spans="1:21" ht="15" thickBot="1" x14ac:dyDescent="0.4">
      <c r="A32" s="15" t="s">
        <v>110</v>
      </c>
      <c r="B32" s="9" t="s">
        <v>122</v>
      </c>
    </row>
    <row r="33" spans="1:15" ht="16" thickBot="1" x14ac:dyDescent="0.4">
      <c r="A33" s="9" t="s">
        <v>17</v>
      </c>
      <c r="B33" s="30" t="s">
        <v>28</v>
      </c>
    </row>
    <row r="34" spans="1:15" ht="16" thickBot="1" x14ac:dyDescent="0.4">
      <c r="A34" s="9" t="s">
        <v>18</v>
      </c>
      <c r="B34" s="31" t="s">
        <v>29</v>
      </c>
      <c r="E34" t="s">
        <v>1</v>
      </c>
    </row>
    <row r="35" spans="1:15" ht="16" thickBot="1" x14ac:dyDescent="0.4">
      <c r="A35" s="9" t="s">
        <v>19</v>
      </c>
      <c r="B35" s="31" t="s">
        <v>29</v>
      </c>
      <c r="E35" t="s">
        <v>99</v>
      </c>
    </row>
    <row r="36" spans="1:15" ht="16" thickBot="1" x14ac:dyDescent="0.4">
      <c r="A36" s="9" t="s">
        <v>20</v>
      </c>
      <c r="B36" s="31" t="s">
        <v>29</v>
      </c>
      <c r="E36" t="s">
        <v>39</v>
      </c>
    </row>
    <row r="37" spans="1:15" ht="16" thickBot="1" x14ac:dyDescent="0.4">
      <c r="A37" s="9" t="s">
        <v>21</v>
      </c>
      <c r="B37" s="31" t="s">
        <v>29</v>
      </c>
      <c r="E37" t="s">
        <v>40</v>
      </c>
    </row>
    <row r="38" spans="1:15" ht="16" thickBot="1" x14ac:dyDescent="0.4">
      <c r="A38" s="9" t="s">
        <v>22</v>
      </c>
      <c r="B38" s="31" t="s">
        <v>28</v>
      </c>
      <c r="E38" t="s">
        <v>41</v>
      </c>
    </row>
    <row r="39" spans="1:15" ht="16" thickBot="1" x14ac:dyDescent="0.4">
      <c r="A39" s="9" t="s">
        <v>23</v>
      </c>
      <c r="B39" s="31" t="s">
        <v>29</v>
      </c>
      <c r="E39" t="s">
        <v>42</v>
      </c>
    </row>
    <row r="40" spans="1:15" ht="16" thickBot="1" x14ac:dyDescent="0.4">
      <c r="A40" s="9" t="s">
        <v>24</v>
      </c>
      <c r="B40" s="31" t="s">
        <v>29</v>
      </c>
      <c r="E40" t="s">
        <v>43</v>
      </c>
    </row>
    <row r="41" spans="1:15" ht="16" thickBot="1" x14ac:dyDescent="0.4">
      <c r="A41" s="9" t="s">
        <v>25</v>
      </c>
      <c r="B41" s="32" t="s">
        <v>29</v>
      </c>
      <c r="E41" t="s">
        <v>149</v>
      </c>
    </row>
    <row r="42" spans="1:15" x14ac:dyDescent="0.35">
      <c r="A42" s="9"/>
      <c r="B42" s="9"/>
      <c r="E42" t="s">
        <v>100</v>
      </c>
    </row>
    <row r="43" spans="1:15" x14ac:dyDescent="0.35">
      <c r="E43" t="s">
        <v>101</v>
      </c>
    </row>
    <row r="44" spans="1:15" x14ac:dyDescent="0.35">
      <c r="E44" t="s">
        <v>102</v>
      </c>
    </row>
    <row r="46" spans="1:15" x14ac:dyDescent="0.35">
      <c r="A46" s="9" t="s">
        <v>124</v>
      </c>
    </row>
    <row r="47" spans="1:15" ht="15" thickBot="1" x14ac:dyDescent="0.4">
      <c r="A47" s="18"/>
      <c r="L47" t="s">
        <v>493</v>
      </c>
      <c r="N47" t="s">
        <v>492</v>
      </c>
    </row>
    <row r="48" spans="1:15" ht="15" thickBot="1" x14ac:dyDescent="0.4">
      <c r="A48" s="33" t="s">
        <v>107</v>
      </c>
      <c r="B48" s="34" t="s">
        <v>128</v>
      </c>
      <c r="C48" s="34" t="s">
        <v>17</v>
      </c>
      <c r="D48" s="34" t="s">
        <v>18</v>
      </c>
      <c r="E48" s="34" t="s">
        <v>19</v>
      </c>
      <c r="F48" s="34" t="s">
        <v>20</v>
      </c>
      <c r="G48" s="34" t="s">
        <v>21</v>
      </c>
      <c r="H48" s="34" t="s">
        <v>22</v>
      </c>
      <c r="I48" s="34" t="s">
        <v>23</v>
      </c>
      <c r="J48" s="34" t="s">
        <v>24</v>
      </c>
      <c r="K48" s="34"/>
      <c r="L48" s="77" t="s">
        <v>25</v>
      </c>
      <c r="M48" s="77"/>
      <c r="N48" s="74" t="s">
        <v>25</v>
      </c>
      <c r="O48" s="16"/>
    </row>
    <row r="49" spans="1:15" ht="15" thickBot="1" x14ac:dyDescent="0.4">
      <c r="A49" s="35" t="s">
        <v>125</v>
      </c>
      <c r="B49" s="36" t="s">
        <v>53</v>
      </c>
      <c r="C49" s="36">
        <v>800</v>
      </c>
      <c r="D49" s="36">
        <v>8</v>
      </c>
      <c r="E49" s="36" t="s">
        <v>293</v>
      </c>
      <c r="F49" s="36" t="s">
        <v>364</v>
      </c>
      <c r="G49" s="36" t="s">
        <v>294</v>
      </c>
      <c r="H49" s="44">
        <v>0.91666666666666663</v>
      </c>
      <c r="I49" s="36" t="s">
        <v>263</v>
      </c>
      <c r="J49" s="36" t="s">
        <v>133</v>
      </c>
      <c r="K49" s="36"/>
      <c r="L49" s="78" t="s">
        <v>295</v>
      </c>
      <c r="M49" s="78"/>
      <c r="N49" s="75" t="s">
        <v>295</v>
      </c>
      <c r="O49" s="12"/>
    </row>
    <row r="50" spans="1:15" ht="15" thickBot="1" x14ac:dyDescent="0.4">
      <c r="A50" s="35" t="s">
        <v>126</v>
      </c>
      <c r="B50" s="36" t="s">
        <v>54</v>
      </c>
      <c r="C50" s="36" t="s">
        <v>106</v>
      </c>
      <c r="D50" s="36">
        <v>9</v>
      </c>
      <c r="E50" s="36" t="s">
        <v>293</v>
      </c>
      <c r="F50" s="36" t="s">
        <v>365</v>
      </c>
      <c r="G50" s="36" t="s">
        <v>294</v>
      </c>
      <c r="H50" s="99" t="s">
        <v>296</v>
      </c>
      <c r="I50" s="36" t="s">
        <v>263</v>
      </c>
      <c r="J50" s="36" t="s">
        <v>133</v>
      </c>
      <c r="K50" s="36"/>
      <c r="L50" s="78" t="s">
        <v>295</v>
      </c>
      <c r="M50" s="78"/>
      <c r="N50" s="75" t="s">
        <v>295</v>
      </c>
      <c r="O50" s="12"/>
    </row>
    <row r="51" spans="1:15" ht="15" thickBot="1" x14ac:dyDescent="0.4">
      <c r="A51" s="35" t="s">
        <v>127</v>
      </c>
      <c r="B51" s="36" t="s">
        <v>55</v>
      </c>
      <c r="C51" s="36" t="s">
        <v>297</v>
      </c>
      <c r="D51" s="36">
        <v>9</v>
      </c>
      <c r="E51" s="36" t="s">
        <v>298</v>
      </c>
      <c r="F51" s="36" t="s">
        <v>362</v>
      </c>
      <c r="G51" s="36" t="s">
        <v>294</v>
      </c>
      <c r="H51" s="100">
        <v>0.91666666666666663</v>
      </c>
      <c r="I51" s="36" t="s">
        <v>368</v>
      </c>
      <c r="J51" s="36" t="s">
        <v>133</v>
      </c>
      <c r="K51" s="36"/>
      <c r="L51" s="78" t="s">
        <v>295</v>
      </c>
      <c r="M51" s="78"/>
      <c r="N51" s="75" t="s">
        <v>295</v>
      </c>
      <c r="O51" s="12"/>
    </row>
    <row r="52" spans="1:15" ht="15" thickBot="1" x14ac:dyDescent="0.4">
      <c r="A52" s="35" t="s">
        <v>174</v>
      </c>
      <c r="B52" s="36" t="s">
        <v>278</v>
      </c>
      <c r="C52" s="36">
        <v>667.66700000000003</v>
      </c>
      <c r="D52" s="104">
        <v>4</v>
      </c>
      <c r="E52" s="36" t="s">
        <v>298</v>
      </c>
      <c r="F52" s="36" t="s">
        <v>366</v>
      </c>
      <c r="G52" s="36" t="s">
        <v>294</v>
      </c>
      <c r="H52" s="99" t="s">
        <v>296</v>
      </c>
      <c r="I52" s="36" t="s">
        <v>91</v>
      </c>
      <c r="J52" s="36" t="s">
        <v>299</v>
      </c>
      <c r="K52" s="36"/>
      <c r="L52" s="78" t="s">
        <v>295</v>
      </c>
      <c r="M52" s="78"/>
      <c r="N52" s="75" t="s">
        <v>295</v>
      </c>
    </row>
    <row r="53" spans="1:15" ht="15" thickBot="1" x14ac:dyDescent="0.4">
      <c r="A53" s="35" t="s">
        <v>180</v>
      </c>
      <c r="B53" s="36" t="s">
        <v>56</v>
      </c>
      <c r="C53" s="36" t="s">
        <v>297</v>
      </c>
      <c r="D53" s="83">
        <v>7</v>
      </c>
      <c r="E53" s="36" t="s">
        <v>293</v>
      </c>
      <c r="F53" s="36" t="s">
        <v>367</v>
      </c>
      <c r="G53" s="36" t="s">
        <v>300</v>
      </c>
      <c r="H53" s="99" t="s">
        <v>296</v>
      </c>
      <c r="I53" s="36" t="s">
        <v>79</v>
      </c>
      <c r="J53" s="36" t="s">
        <v>133</v>
      </c>
      <c r="K53" s="36"/>
      <c r="L53" s="78" t="s">
        <v>295</v>
      </c>
      <c r="M53" s="78"/>
      <c r="N53" s="75" t="s">
        <v>295</v>
      </c>
    </row>
    <row r="54" spans="1:15" ht="15" thickBot="1" x14ac:dyDescent="0.4">
      <c r="A54" s="35" t="s">
        <v>185</v>
      </c>
      <c r="B54" s="36" t="s">
        <v>301</v>
      </c>
      <c r="C54" s="36" t="s">
        <v>297</v>
      </c>
      <c r="D54" s="36">
        <v>7</v>
      </c>
      <c r="E54" s="36" t="s">
        <v>293</v>
      </c>
      <c r="F54" s="36" t="s">
        <v>363</v>
      </c>
      <c r="G54" s="36" t="s">
        <v>294</v>
      </c>
      <c r="H54" s="99" t="s">
        <v>296</v>
      </c>
      <c r="I54" s="36" t="s">
        <v>91</v>
      </c>
      <c r="J54" s="36" t="s">
        <v>133</v>
      </c>
      <c r="K54" s="36"/>
      <c r="L54" s="78" t="s">
        <v>295</v>
      </c>
      <c r="M54" s="78"/>
      <c r="N54" s="75" t="s">
        <v>295</v>
      </c>
    </row>
    <row r="55" spans="1:15" ht="15" thickBot="1" x14ac:dyDescent="0.4">
      <c r="A55" s="35" t="s">
        <v>283</v>
      </c>
      <c r="B55" s="36" t="s">
        <v>241</v>
      </c>
      <c r="C55" s="36" t="s">
        <v>302</v>
      </c>
      <c r="D55" s="36">
        <v>5</v>
      </c>
      <c r="E55" s="36" t="s">
        <v>293</v>
      </c>
      <c r="F55" s="36" t="s">
        <v>360</v>
      </c>
      <c r="G55" s="36" t="s">
        <v>294</v>
      </c>
      <c r="H55" s="99" t="s">
        <v>303</v>
      </c>
      <c r="I55" s="36" t="s">
        <v>91</v>
      </c>
      <c r="J55" s="36" t="s">
        <v>133</v>
      </c>
      <c r="K55" s="36"/>
      <c r="L55" s="78" t="s">
        <v>299</v>
      </c>
      <c r="M55" s="78"/>
      <c r="N55" s="75" t="s">
        <v>285</v>
      </c>
    </row>
    <row r="56" spans="1:15" ht="15" thickBot="1" x14ac:dyDescent="0.4">
      <c r="A56" s="35" t="s">
        <v>286</v>
      </c>
      <c r="B56" s="36" t="s">
        <v>243</v>
      </c>
      <c r="C56" s="36">
        <v>650</v>
      </c>
      <c r="D56" s="36">
        <v>2</v>
      </c>
      <c r="E56" s="36" t="s">
        <v>298</v>
      </c>
      <c r="F56" s="36" t="s">
        <v>359</v>
      </c>
      <c r="G56" s="36" t="s">
        <v>294</v>
      </c>
      <c r="H56" s="99" t="s">
        <v>296</v>
      </c>
      <c r="I56" s="36" t="s">
        <v>79</v>
      </c>
      <c r="J56" s="36" t="s">
        <v>133</v>
      </c>
      <c r="K56" s="36"/>
      <c r="L56" s="78" t="s">
        <v>299</v>
      </c>
      <c r="M56" s="78"/>
      <c r="N56" s="75" t="s">
        <v>285</v>
      </c>
      <c r="O56" s="9"/>
    </row>
    <row r="57" spans="1:15" ht="15" thickBot="1" x14ac:dyDescent="0.4">
      <c r="A57" s="35" t="s">
        <v>287</v>
      </c>
      <c r="B57" s="36" t="s">
        <v>244</v>
      </c>
      <c r="C57" s="36" t="s">
        <v>302</v>
      </c>
      <c r="D57" s="75">
        <v>5</v>
      </c>
      <c r="E57" s="36" t="s">
        <v>293</v>
      </c>
      <c r="F57" s="36" t="s">
        <v>361</v>
      </c>
      <c r="G57" s="36" t="s">
        <v>294</v>
      </c>
      <c r="H57" s="99" t="s">
        <v>304</v>
      </c>
      <c r="I57" s="36" t="s">
        <v>79</v>
      </c>
      <c r="J57" s="36" t="s">
        <v>133</v>
      </c>
      <c r="K57" s="36"/>
      <c r="L57" s="78" t="s">
        <v>299</v>
      </c>
      <c r="M57" s="78"/>
      <c r="N57" s="75" t="s">
        <v>285</v>
      </c>
      <c r="O57" s="12"/>
    </row>
    <row r="58" spans="1:15" ht="15" thickBot="1" x14ac:dyDescent="0.4">
      <c r="A58" s="35" t="s">
        <v>288</v>
      </c>
      <c r="B58" s="36" t="s">
        <v>255</v>
      </c>
      <c r="C58" s="36">
        <v>600</v>
      </c>
      <c r="D58" s="36">
        <v>3</v>
      </c>
      <c r="E58" s="36" t="s">
        <v>293</v>
      </c>
      <c r="F58" s="36" t="s">
        <v>362</v>
      </c>
      <c r="G58" s="36" t="s">
        <v>294</v>
      </c>
      <c r="H58" s="99" t="s">
        <v>296</v>
      </c>
      <c r="I58" s="36" t="s">
        <v>305</v>
      </c>
      <c r="J58" s="36" t="s">
        <v>133</v>
      </c>
      <c r="K58" s="36"/>
      <c r="L58" s="78" t="s">
        <v>299</v>
      </c>
      <c r="M58" s="78"/>
      <c r="N58" s="75" t="s">
        <v>285</v>
      </c>
      <c r="O58" s="12"/>
    </row>
    <row r="59" spans="1:15" ht="15" thickBot="1" x14ac:dyDescent="0.4">
      <c r="A59" s="35" t="s">
        <v>417</v>
      </c>
      <c r="B59" s="37" t="s">
        <v>374</v>
      </c>
      <c r="C59" s="37">
        <v>750</v>
      </c>
      <c r="D59" s="37">
        <v>6</v>
      </c>
      <c r="E59" s="36" t="s">
        <v>293</v>
      </c>
      <c r="F59" s="37" t="s">
        <v>453</v>
      </c>
      <c r="G59" s="36" t="s">
        <v>294</v>
      </c>
      <c r="H59" s="101">
        <v>0.91666666666666663</v>
      </c>
      <c r="I59" s="36" t="s">
        <v>263</v>
      </c>
      <c r="J59" s="36" t="s">
        <v>133</v>
      </c>
      <c r="K59" s="36"/>
      <c r="L59" s="78" t="s">
        <v>295</v>
      </c>
      <c r="M59" s="78"/>
      <c r="N59" s="75" t="s">
        <v>295</v>
      </c>
      <c r="O59" s="12"/>
    </row>
    <row r="60" spans="1:15" ht="15" thickBot="1" x14ac:dyDescent="0.4">
      <c r="A60" s="35" t="s">
        <v>418</v>
      </c>
      <c r="B60" s="37" t="s">
        <v>381</v>
      </c>
      <c r="C60" s="37">
        <v>625</v>
      </c>
      <c r="D60" s="37">
        <v>5</v>
      </c>
      <c r="E60" s="36" t="s">
        <v>293</v>
      </c>
      <c r="F60" s="37" t="s">
        <v>454</v>
      </c>
      <c r="G60" s="36" t="s">
        <v>294</v>
      </c>
      <c r="H60" s="101">
        <v>0.95833333333333337</v>
      </c>
      <c r="I60" s="36" t="s">
        <v>91</v>
      </c>
      <c r="J60" s="36" t="s">
        <v>133</v>
      </c>
      <c r="K60" s="36"/>
      <c r="L60" s="78" t="s">
        <v>299</v>
      </c>
      <c r="M60" s="95"/>
      <c r="N60" s="76" t="s">
        <v>427</v>
      </c>
      <c r="O60" s="12"/>
    </row>
    <row r="61" spans="1:15" ht="15" thickBot="1" x14ac:dyDescent="0.4">
      <c r="A61" s="35" t="s">
        <v>419</v>
      </c>
      <c r="B61" s="37" t="s">
        <v>388</v>
      </c>
      <c r="C61" s="37">
        <v>708.33299999999997</v>
      </c>
      <c r="D61" s="37">
        <v>5</v>
      </c>
      <c r="E61" s="83" t="s">
        <v>496</v>
      </c>
      <c r="F61" s="37" t="s">
        <v>455</v>
      </c>
      <c r="G61" s="83" t="s">
        <v>322</v>
      </c>
      <c r="H61" s="102" t="s">
        <v>426</v>
      </c>
      <c r="I61" s="36" t="s">
        <v>91</v>
      </c>
      <c r="J61" s="83" t="s">
        <v>299</v>
      </c>
      <c r="K61" s="83"/>
      <c r="L61" s="78" t="s">
        <v>299</v>
      </c>
      <c r="M61" s="95"/>
      <c r="N61" s="76" t="s">
        <v>427</v>
      </c>
      <c r="O61" s="12"/>
    </row>
    <row r="62" spans="1:15" ht="15" thickBot="1" x14ac:dyDescent="0.4">
      <c r="A62" s="35" t="s">
        <v>420</v>
      </c>
      <c r="B62" s="37" t="s">
        <v>394</v>
      </c>
      <c r="C62" s="37">
        <v>583.33299999999997</v>
      </c>
      <c r="D62" s="37">
        <v>4</v>
      </c>
      <c r="E62" s="37" t="s">
        <v>425</v>
      </c>
      <c r="F62" s="37" t="s">
        <v>456</v>
      </c>
      <c r="G62" s="36" t="s">
        <v>294</v>
      </c>
      <c r="H62" s="102" t="s">
        <v>296</v>
      </c>
      <c r="I62" s="36" t="s">
        <v>91</v>
      </c>
      <c r="J62" s="36" t="s">
        <v>133</v>
      </c>
      <c r="K62" s="36"/>
      <c r="L62" s="78" t="s">
        <v>299</v>
      </c>
      <c r="M62" s="95"/>
      <c r="N62" s="76" t="s">
        <v>285</v>
      </c>
      <c r="O62" s="12"/>
    </row>
    <row r="63" spans="1:15" ht="15" thickBot="1" x14ac:dyDescent="0.4">
      <c r="A63" s="35" t="s">
        <v>421</v>
      </c>
      <c r="B63" s="37" t="s">
        <v>424</v>
      </c>
      <c r="C63" s="37">
        <v>730</v>
      </c>
      <c r="D63" s="37">
        <v>5</v>
      </c>
      <c r="E63" s="36" t="s">
        <v>293</v>
      </c>
      <c r="F63" s="37" t="s">
        <v>457</v>
      </c>
      <c r="G63" s="37" t="s">
        <v>322</v>
      </c>
      <c r="H63" s="102" t="s">
        <v>426</v>
      </c>
      <c r="I63" s="36" t="s">
        <v>91</v>
      </c>
      <c r="J63" s="36" t="s">
        <v>266</v>
      </c>
      <c r="K63" s="36"/>
      <c r="L63" s="78" t="s">
        <v>295</v>
      </c>
      <c r="M63" s="78"/>
      <c r="N63" s="75" t="s">
        <v>295</v>
      </c>
      <c r="O63" s="12"/>
    </row>
    <row r="64" spans="1:15" ht="15" thickBot="1" x14ac:dyDescent="0.4">
      <c r="A64" s="35" t="s">
        <v>422</v>
      </c>
      <c r="B64" s="37" t="s">
        <v>411</v>
      </c>
      <c r="C64" s="37">
        <v>666.66700000000003</v>
      </c>
      <c r="D64" s="37">
        <v>5</v>
      </c>
      <c r="E64" s="36" t="s">
        <v>293</v>
      </c>
      <c r="F64" s="37" t="s">
        <v>458</v>
      </c>
      <c r="G64" s="36" t="s">
        <v>294</v>
      </c>
      <c r="H64" s="102" t="s">
        <v>426</v>
      </c>
      <c r="I64" s="36" t="s">
        <v>91</v>
      </c>
      <c r="J64" s="36" t="s">
        <v>133</v>
      </c>
      <c r="K64" s="36"/>
      <c r="L64" s="78" t="s">
        <v>295</v>
      </c>
      <c r="M64" s="78"/>
      <c r="N64" s="75" t="s">
        <v>295</v>
      </c>
      <c r="O64" s="12"/>
    </row>
    <row r="66" spans="1:14" x14ac:dyDescent="0.35">
      <c r="A66" s="37" t="s">
        <v>306</v>
      </c>
    </row>
    <row r="67" spans="1:14" ht="15" thickBot="1" x14ac:dyDescent="0.4">
      <c r="J67" s="37" t="s">
        <v>491</v>
      </c>
      <c r="K67" s="37"/>
    </row>
    <row r="68" spans="1:14" ht="15.5" thickBot="1" x14ac:dyDescent="0.4">
      <c r="A68" s="38" t="s">
        <v>136</v>
      </c>
      <c r="B68" s="39" t="s">
        <v>17</v>
      </c>
      <c r="C68" s="39" t="s">
        <v>18</v>
      </c>
      <c r="D68" s="39" t="s">
        <v>19</v>
      </c>
      <c r="E68" s="39" t="s">
        <v>20</v>
      </c>
      <c r="F68" s="39" t="s">
        <v>21</v>
      </c>
      <c r="G68" s="39" t="s">
        <v>22</v>
      </c>
      <c r="H68" s="39" t="s">
        <v>23</v>
      </c>
      <c r="I68" s="39" t="s">
        <v>24</v>
      </c>
      <c r="J68" s="71" t="s">
        <v>25</v>
      </c>
      <c r="K68" s="90"/>
    </row>
    <row r="69" spans="1:14" ht="16" thickBot="1" x14ac:dyDescent="0.4">
      <c r="A69" s="40" t="s">
        <v>125</v>
      </c>
      <c r="B69" s="41">
        <v>1</v>
      </c>
      <c r="C69" s="41">
        <v>4</v>
      </c>
      <c r="D69" s="41">
        <v>3</v>
      </c>
      <c r="E69" s="41">
        <v>1</v>
      </c>
      <c r="F69" s="41">
        <v>2</v>
      </c>
      <c r="G69" s="41">
        <v>2</v>
      </c>
      <c r="H69" s="41">
        <v>1</v>
      </c>
      <c r="I69" s="41">
        <v>2</v>
      </c>
      <c r="J69" s="72">
        <v>2</v>
      </c>
      <c r="K69" s="73"/>
    </row>
    <row r="70" spans="1:14" ht="16" thickBot="1" x14ac:dyDescent="0.4">
      <c r="A70" s="40" t="s">
        <v>126</v>
      </c>
      <c r="B70" s="41">
        <v>2</v>
      </c>
      <c r="C70" s="41">
        <v>5</v>
      </c>
      <c r="D70" s="41">
        <v>3</v>
      </c>
      <c r="E70" s="41">
        <v>1</v>
      </c>
      <c r="F70" s="41">
        <v>2</v>
      </c>
      <c r="G70" s="41">
        <v>5</v>
      </c>
      <c r="H70" s="41">
        <v>1</v>
      </c>
      <c r="I70" s="41">
        <v>2</v>
      </c>
      <c r="J70" s="72">
        <v>2</v>
      </c>
      <c r="K70" s="73"/>
      <c r="N70" s="9"/>
    </row>
    <row r="71" spans="1:14" ht="16" thickBot="1" x14ac:dyDescent="0.4">
      <c r="A71" s="40" t="s">
        <v>127</v>
      </c>
      <c r="B71" s="41">
        <v>3</v>
      </c>
      <c r="C71" s="41">
        <v>5</v>
      </c>
      <c r="D71" s="41">
        <v>5</v>
      </c>
      <c r="E71" s="41">
        <v>1</v>
      </c>
      <c r="F71" s="41">
        <v>2</v>
      </c>
      <c r="G71" s="41">
        <v>2</v>
      </c>
      <c r="H71" s="41">
        <v>2</v>
      </c>
      <c r="I71" s="41">
        <v>2</v>
      </c>
      <c r="J71" s="72">
        <v>2</v>
      </c>
      <c r="K71" s="73"/>
      <c r="N71" s="9"/>
    </row>
    <row r="72" spans="1:14" ht="16" thickBot="1" x14ac:dyDescent="0.4">
      <c r="A72" s="40" t="s">
        <v>174</v>
      </c>
      <c r="B72" s="41">
        <v>1</v>
      </c>
      <c r="C72" s="41">
        <v>2</v>
      </c>
      <c r="D72" s="41">
        <v>5</v>
      </c>
      <c r="E72" s="41">
        <v>1</v>
      </c>
      <c r="F72" s="41">
        <v>2</v>
      </c>
      <c r="G72" s="41">
        <v>5</v>
      </c>
      <c r="H72" s="41">
        <v>2</v>
      </c>
      <c r="I72" s="41">
        <v>1</v>
      </c>
      <c r="J72" s="72">
        <v>2</v>
      </c>
      <c r="K72" s="73"/>
      <c r="L72" s="9"/>
      <c r="M72" s="9"/>
      <c r="N72" s="9"/>
    </row>
    <row r="73" spans="1:14" ht="16" thickBot="1" x14ac:dyDescent="0.4">
      <c r="A73" s="40" t="s">
        <v>180</v>
      </c>
      <c r="B73" s="41">
        <v>3</v>
      </c>
      <c r="C73" s="97">
        <v>4</v>
      </c>
      <c r="D73" s="41">
        <v>3</v>
      </c>
      <c r="E73" s="41">
        <v>1</v>
      </c>
      <c r="F73" s="41">
        <v>2</v>
      </c>
      <c r="G73" s="41">
        <v>5</v>
      </c>
      <c r="H73" s="41">
        <v>1</v>
      </c>
      <c r="I73" s="41">
        <v>2</v>
      </c>
      <c r="J73" s="72">
        <v>2</v>
      </c>
      <c r="K73" s="73"/>
      <c r="L73" s="9"/>
      <c r="M73" s="9"/>
      <c r="N73" s="9"/>
    </row>
    <row r="74" spans="1:14" ht="16" thickBot="1" x14ac:dyDescent="0.4">
      <c r="A74" s="40" t="s">
        <v>185</v>
      </c>
      <c r="B74" s="41">
        <v>3</v>
      </c>
      <c r="C74" s="41">
        <v>4</v>
      </c>
      <c r="D74" s="103">
        <v>3</v>
      </c>
      <c r="E74" s="41">
        <v>1</v>
      </c>
      <c r="F74" s="41">
        <v>2</v>
      </c>
      <c r="G74" s="41">
        <v>5</v>
      </c>
      <c r="H74" s="41">
        <v>2</v>
      </c>
      <c r="I74" s="41">
        <v>2</v>
      </c>
      <c r="J74" s="72">
        <v>2</v>
      </c>
      <c r="K74" s="73"/>
      <c r="L74" s="9"/>
      <c r="M74" s="9"/>
      <c r="N74" s="9"/>
    </row>
    <row r="75" spans="1:14" ht="16" thickBot="1" x14ac:dyDescent="0.4">
      <c r="A75" s="40" t="s">
        <v>283</v>
      </c>
      <c r="B75" s="41">
        <v>2</v>
      </c>
      <c r="C75" s="41">
        <v>3</v>
      </c>
      <c r="D75" s="41">
        <v>3</v>
      </c>
      <c r="E75" s="41">
        <v>1</v>
      </c>
      <c r="F75" s="41">
        <v>2</v>
      </c>
      <c r="G75" s="41">
        <v>5</v>
      </c>
      <c r="H75" s="41">
        <v>2</v>
      </c>
      <c r="I75" s="41">
        <v>2</v>
      </c>
      <c r="J75" s="72">
        <v>1</v>
      </c>
      <c r="K75" s="73"/>
      <c r="L75" s="9"/>
      <c r="M75" s="9"/>
      <c r="N75" s="9"/>
    </row>
    <row r="76" spans="1:14" ht="16" thickBot="1" x14ac:dyDescent="0.4">
      <c r="A76" s="40" t="s">
        <v>286</v>
      </c>
      <c r="B76" s="41">
        <v>1</v>
      </c>
      <c r="C76" s="41">
        <v>1</v>
      </c>
      <c r="D76" s="41">
        <v>5</v>
      </c>
      <c r="E76" s="41">
        <v>2</v>
      </c>
      <c r="F76" s="41">
        <v>2</v>
      </c>
      <c r="G76" s="41">
        <v>5</v>
      </c>
      <c r="H76" s="98">
        <v>1</v>
      </c>
      <c r="I76" s="41">
        <v>2</v>
      </c>
      <c r="J76" s="72">
        <v>1</v>
      </c>
      <c r="K76" s="73"/>
      <c r="L76" s="9"/>
      <c r="M76" s="9"/>
      <c r="N76" s="9"/>
    </row>
    <row r="77" spans="1:14" ht="16" thickBot="1" x14ac:dyDescent="0.4">
      <c r="A77" s="40" t="s">
        <v>287</v>
      </c>
      <c r="B77" s="41">
        <v>2</v>
      </c>
      <c r="C77" s="41">
        <v>3</v>
      </c>
      <c r="D77" s="41">
        <v>3</v>
      </c>
      <c r="E77" s="41">
        <v>1</v>
      </c>
      <c r="F77" s="41">
        <v>2</v>
      </c>
      <c r="G77" s="41">
        <v>5</v>
      </c>
      <c r="H77" s="41">
        <v>1</v>
      </c>
      <c r="I77" s="41">
        <v>2</v>
      </c>
      <c r="J77" s="72">
        <v>1</v>
      </c>
      <c r="K77" s="73"/>
      <c r="L77" s="9"/>
      <c r="M77" s="9"/>
      <c r="N77" s="9"/>
    </row>
    <row r="78" spans="1:14" ht="16" thickBot="1" x14ac:dyDescent="0.4">
      <c r="A78" s="40" t="s">
        <v>288</v>
      </c>
      <c r="B78" s="41">
        <v>1</v>
      </c>
      <c r="C78" s="41">
        <v>2</v>
      </c>
      <c r="D78" s="41">
        <v>3</v>
      </c>
      <c r="E78" s="41">
        <v>1</v>
      </c>
      <c r="F78" s="41">
        <v>2</v>
      </c>
      <c r="G78" s="41">
        <v>5</v>
      </c>
      <c r="H78" s="41">
        <v>1</v>
      </c>
      <c r="I78" s="41">
        <v>2</v>
      </c>
      <c r="J78" s="72">
        <v>1</v>
      </c>
      <c r="K78" s="73"/>
      <c r="L78" s="9"/>
      <c r="M78" s="9"/>
      <c r="N78" s="9"/>
    </row>
    <row r="79" spans="1:14" ht="16" thickBot="1" x14ac:dyDescent="0.4">
      <c r="A79" s="40" t="s">
        <v>417</v>
      </c>
      <c r="B79" s="57">
        <v>1</v>
      </c>
      <c r="C79" s="57">
        <v>3</v>
      </c>
      <c r="D79" s="57">
        <v>3</v>
      </c>
      <c r="E79" s="57">
        <v>1</v>
      </c>
      <c r="F79" s="57">
        <v>2</v>
      </c>
      <c r="G79" s="57">
        <v>2</v>
      </c>
      <c r="H79" s="57">
        <v>1</v>
      </c>
      <c r="I79" s="57">
        <v>2</v>
      </c>
      <c r="J79" s="73">
        <v>2</v>
      </c>
      <c r="K79" s="73"/>
      <c r="L79" s="9"/>
      <c r="M79" s="9"/>
      <c r="N79" s="9"/>
    </row>
    <row r="80" spans="1:14" ht="16" thickBot="1" x14ac:dyDescent="0.4">
      <c r="A80" s="40" t="s">
        <v>418</v>
      </c>
      <c r="B80" s="57">
        <v>1</v>
      </c>
      <c r="C80" s="57">
        <v>3</v>
      </c>
      <c r="D80" s="57">
        <v>3</v>
      </c>
      <c r="E80" s="57">
        <v>1</v>
      </c>
      <c r="F80" s="57">
        <v>2</v>
      </c>
      <c r="G80" s="57">
        <v>3</v>
      </c>
      <c r="H80" s="57">
        <v>2</v>
      </c>
      <c r="I80" s="57">
        <v>2</v>
      </c>
      <c r="J80" s="73">
        <v>1</v>
      </c>
      <c r="K80" s="73"/>
      <c r="L80" s="9"/>
      <c r="M80" s="9"/>
      <c r="N80" s="9"/>
    </row>
    <row r="81" spans="1:14" ht="16" thickBot="1" x14ac:dyDescent="0.4">
      <c r="A81" s="40" t="s">
        <v>419</v>
      </c>
      <c r="B81" s="57">
        <v>1</v>
      </c>
      <c r="C81" s="57">
        <v>3</v>
      </c>
      <c r="D81" s="84">
        <v>4</v>
      </c>
      <c r="E81" s="57">
        <v>1</v>
      </c>
      <c r="F81" s="84">
        <v>1</v>
      </c>
      <c r="G81" s="57">
        <v>5</v>
      </c>
      <c r="H81" s="57">
        <v>2</v>
      </c>
      <c r="I81" s="84">
        <v>1</v>
      </c>
      <c r="J81" s="73">
        <v>1</v>
      </c>
      <c r="K81" s="73"/>
      <c r="L81" s="9"/>
      <c r="M81" s="9"/>
      <c r="N81" s="9"/>
    </row>
    <row r="82" spans="1:14" ht="16" thickBot="1" x14ac:dyDescent="0.4">
      <c r="A82" s="40" t="s">
        <v>420</v>
      </c>
      <c r="B82" s="57">
        <v>1</v>
      </c>
      <c r="C82" s="57">
        <v>2</v>
      </c>
      <c r="D82" s="57">
        <v>4</v>
      </c>
      <c r="E82" s="57">
        <v>1</v>
      </c>
      <c r="F82" s="57">
        <v>2</v>
      </c>
      <c r="G82" s="57">
        <v>5</v>
      </c>
      <c r="H82" s="57">
        <v>2</v>
      </c>
      <c r="I82" s="57">
        <v>2</v>
      </c>
      <c r="J82" s="73">
        <v>1</v>
      </c>
      <c r="K82" s="73"/>
      <c r="L82" s="9"/>
      <c r="M82" s="9"/>
      <c r="N82" s="9"/>
    </row>
    <row r="83" spans="1:14" ht="16" thickBot="1" x14ac:dyDescent="0.4">
      <c r="A83" s="40" t="s">
        <v>421</v>
      </c>
      <c r="B83" s="57">
        <v>1</v>
      </c>
      <c r="C83" s="57">
        <v>3</v>
      </c>
      <c r="D83" s="57">
        <v>3</v>
      </c>
      <c r="E83" s="57">
        <v>1</v>
      </c>
      <c r="F83" s="57">
        <v>1</v>
      </c>
      <c r="G83" s="57">
        <v>5</v>
      </c>
      <c r="H83" s="57">
        <v>2</v>
      </c>
      <c r="I83" s="57">
        <v>3</v>
      </c>
      <c r="J83" s="73">
        <v>2</v>
      </c>
      <c r="K83" s="73"/>
      <c r="L83" s="9"/>
      <c r="M83" s="9"/>
      <c r="N83" s="9"/>
    </row>
    <row r="84" spans="1:14" ht="16" thickBot="1" x14ac:dyDescent="0.4">
      <c r="A84" s="40" t="s">
        <v>422</v>
      </c>
      <c r="B84" s="57">
        <v>1</v>
      </c>
      <c r="C84" s="57">
        <v>3</v>
      </c>
      <c r="D84" s="57">
        <v>3</v>
      </c>
      <c r="E84" s="57">
        <v>1</v>
      </c>
      <c r="F84" s="57">
        <v>2</v>
      </c>
      <c r="G84" s="57">
        <v>5</v>
      </c>
      <c r="H84" s="57">
        <v>2</v>
      </c>
      <c r="I84" s="57">
        <v>2</v>
      </c>
      <c r="J84" s="73">
        <v>2</v>
      </c>
      <c r="K84" s="73"/>
      <c r="L84" s="9"/>
      <c r="M84" s="9"/>
      <c r="N84" s="9"/>
    </row>
    <row r="86" spans="1:14" x14ac:dyDescent="0.35">
      <c r="A86" s="18" t="s">
        <v>137</v>
      </c>
    </row>
    <row r="89" spans="1:14" x14ac:dyDescent="0.35">
      <c r="A89" t="s">
        <v>138</v>
      </c>
      <c r="F89" t="s">
        <v>139</v>
      </c>
      <c r="J89" t="s">
        <v>140</v>
      </c>
    </row>
    <row r="90" spans="1:14" x14ac:dyDescent="0.35">
      <c r="A90" t="s">
        <v>125</v>
      </c>
      <c r="B90" s="48">
        <f t="shared" ref="B90:B105" si="0">1/B69</f>
        <v>1</v>
      </c>
      <c r="F90" t="s">
        <v>125</v>
      </c>
      <c r="G90">
        <f t="shared" ref="G90:G105" si="1">C69/5</f>
        <v>0.8</v>
      </c>
      <c r="J90" t="s">
        <v>125</v>
      </c>
      <c r="L90">
        <f t="shared" ref="L90:L105" si="2">D69/5</f>
        <v>0.6</v>
      </c>
    </row>
    <row r="91" spans="1:14" x14ac:dyDescent="0.35">
      <c r="A91" t="s">
        <v>126</v>
      </c>
      <c r="B91" s="48">
        <f t="shared" si="0"/>
        <v>0.5</v>
      </c>
      <c r="F91" t="s">
        <v>126</v>
      </c>
      <c r="G91">
        <f t="shared" si="1"/>
        <v>1</v>
      </c>
      <c r="J91" t="s">
        <v>126</v>
      </c>
      <c r="L91">
        <f t="shared" si="2"/>
        <v>0.6</v>
      </c>
    </row>
    <row r="92" spans="1:14" x14ac:dyDescent="0.35">
      <c r="A92" t="s">
        <v>127</v>
      </c>
      <c r="B92" s="48">
        <f t="shared" si="0"/>
        <v>0.33333333333333331</v>
      </c>
      <c r="F92" t="s">
        <v>127</v>
      </c>
      <c r="G92">
        <f t="shared" si="1"/>
        <v>1</v>
      </c>
      <c r="J92" t="s">
        <v>127</v>
      </c>
      <c r="L92">
        <f t="shared" si="2"/>
        <v>1</v>
      </c>
    </row>
    <row r="93" spans="1:14" x14ac:dyDescent="0.35">
      <c r="A93" t="s">
        <v>174</v>
      </c>
      <c r="B93" s="48">
        <f t="shared" si="0"/>
        <v>1</v>
      </c>
      <c r="F93" t="s">
        <v>174</v>
      </c>
      <c r="G93">
        <f t="shared" si="1"/>
        <v>0.4</v>
      </c>
      <c r="J93" t="s">
        <v>174</v>
      </c>
      <c r="L93">
        <f t="shared" si="2"/>
        <v>1</v>
      </c>
    </row>
    <row r="94" spans="1:14" x14ac:dyDescent="0.35">
      <c r="A94" t="s">
        <v>180</v>
      </c>
      <c r="B94" s="48">
        <f t="shared" si="0"/>
        <v>0.33333333333333331</v>
      </c>
      <c r="F94" t="s">
        <v>180</v>
      </c>
      <c r="G94" s="81">
        <f t="shared" si="1"/>
        <v>0.8</v>
      </c>
      <c r="J94" t="s">
        <v>180</v>
      </c>
      <c r="L94">
        <f t="shared" si="2"/>
        <v>0.6</v>
      </c>
    </row>
    <row r="95" spans="1:14" x14ac:dyDescent="0.35">
      <c r="A95" t="s">
        <v>185</v>
      </c>
      <c r="B95" s="48">
        <f t="shared" si="0"/>
        <v>0.33333333333333331</v>
      </c>
      <c r="F95" t="s">
        <v>185</v>
      </c>
      <c r="G95">
        <f t="shared" si="1"/>
        <v>0.8</v>
      </c>
      <c r="J95" t="s">
        <v>185</v>
      </c>
      <c r="L95">
        <f t="shared" si="2"/>
        <v>0.6</v>
      </c>
    </row>
    <row r="96" spans="1:14" x14ac:dyDescent="0.35">
      <c r="A96" t="s">
        <v>283</v>
      </c>
      <c r="B96" s="48">
        <f t="shared" si="0"/>
        <v>0.5</v>
      </c>
      <c r="F96" t="s">
        <v>283</v>
      </c>
      <c r="G96">
        <f t="shared" si="1"/>
        <v>0.6</v>
      </c>
      <c r="J96" t="s">
        <v>283</v>
      </c>
      <c r="L96">
        <f t="shared" si="2"/>
        <v>0.6</v>
      </c>
    </row>
    <row r="97" spans="1:13" x14ac:dyDescent="0.35">
      <c r="A97" t="s">
        <v>286</v>
      </c>
      <c r="B97" s="48">
        <f>1/B76</f>
        <v>1</v>
      </c>
      <c r="F97" t="s">
        <v>286</v>
      </c>
      <c r="G97" s="48">
        <f>C76/5</f>
        <v>0.2</v>
      </c>
      <c r="J97" t="s">
        <v>286</v>
      </c>
      <c r="L97">
        <f t="shared" si="2"/>
        <v>1</v>
      </c>
    </row>
    <row r="98" spans="1:13" x14ac:dyDescent="0.35">
      <c r="A98" t="s">
        <v>287</v>
      </c>
      <c r="B98" s="48">
        <f t="shared" si="0"/>
        <v>0.5</v>
      </c>
      <c r="F98" t="s">
        <v>287</v>
      </c>
      <c r="G98">
        <f t="shared" si="1"/>
        <v>0.6</v>
      </c>
      <c r="J98" t="s">
        <v>287</v>
      </c>
      <c r="L98">
        <f t="shared" si="2"/>
        <v>0.6</v>
      </c>
    </row>
    <row r="99" spans="1:13" x14ac:dyDescent="0.35">
      <c r="A99" t="s">
        <v>288</v>
      </c>
      <c r="B99" s="48">
        <f t="shared" si="0"/>
        <v>1</v>
      </c>
      <c r="F99" t="s">
        <v>288</v>
      </c>
      <c r="G99">
        <f t="shared" si="1"/>
        <v>0.4</v>
      </c>
      <c r="J99" t="s">
        <v>288</v>
      </c>
      <c r="L99">
        <f t="shared" si="2"/>
        <v>0.6</v>
      </c>
    </row>
    <row r="100" spans="1:13" x14ac:dyDescent="0.35">
      <c r="A100" t="s">
        <v>417</v>
      </c>
      <c r="B100" s="48">
        <f t="shared" si="0"/>
        <v>1</v>
      </c>
      <c r="F100" t="s">
        <v>417</v>
      </c>
      <c r="G100">
        <f t="shared" si="1"/>
        <v>0.6</v>
      </c>
      <c r="J100" t="s">
        <v>417</v>
      </c>
      <c r="L100">
        <f t="shared" si="2"/>
        <v>0.6</v>
      </c>
    </row>
    <row r="101" spans="1:13" x14ac:dyDescent="0.35">
      <c r="A101" t="s">
        <v>418</v>
      </c>
      <c r="B101" s="48">
        <f t="shared" si="0"/>
        <v>1</v>
      </c>
      <c r="F101" t="s">
        <v>418</v>
      </c>
      <c r="G101">
        <f t="shared" si="1"/>
        <v>0.6</v>
      </c>
      <c r="J101" t="s">
        <v>418</v>
      </c>
      <c r="L101">
        <f t="shared" si="2"/>
        <v>0.6</v>
      </c>
    </row>
    <row r="102" spans="1:13" x14ac:dyDescent="0.35">
      <c r="A102" t="s">
        <v>419</v>
      </c>
      <c r="B102" s="48">
        <f t="shared" si="0"/>
        <v>1</v>
      </c>
      <c r="F102" t="s">
        <v>419</v>
      </c>
      <c r="G102">
        <f t="shared" si="1"/>
        <v>0.6</v>
      </c>
      <c r="J102" t="s">
        <v>419</v>
      </c>
      <c r="L102" s="81">
        <f t="shared" si="2"/>
        <v>0.8</v>
      </c>
      <c r="M102" s="81"/>
    </row>
    <row r="103" spans="1:13" x14ac:dyDescent="0.35">
      <c r="A103" t="s">
        <v>420</v>
      </c>
      <c r="B103" s="48">
        <f t="shared" si="0"/>
        <v>1</v>
      </c>
      <c r="F103" t="s">
        <v>420</v>
      </c>
      <c r="G103">
        <f>C82/5</f>
        <v>0.4</v>
      </c>
      <c r="J103" t="s">
        <v>420</v>
      </c>
      <c r="L103">
        <f t="shared" si="2"/>
        <v>0.8</v>
      </c>
    </row>
    <row r="104" spans="1:13" x14ac:dyDescent="0.35">
      <c r="A104" t="s">
        <v>421</v>
      </c>
      <c r="B104" s="48">
        <f t="shared" si="0"/>
        <v>1</v>
      </c>
      <c r="F104" t="s">
        <v>421</v>
      </c>
      <c r="G104">
        <f t="shared" si="1"/>
        <v>0.6</v>
      </c>
      <c r="J104" t="s">
        <v>421</v>
      </c>
      <c r="L104">
        <f t="shared" si="2"/>
        <v>0.6</v>
      </c>
    </row>
    <row r="105" spans="1:13" x14ac:dyDescent="0.35">
      <c r="A105" t="s">
        <v>422</v>
      </c>
      <c r="B105" s="48">
        <f t="shared" si="0"/>
        <v>1</v>
      </c>
      <c r="F105" t="s">
        <v>422</v>
      </c>
      <c r="G105">
        <f t="shared" si="1"/>
        <v>0.6</v>
      </c>
      <c r="J105" t="s">
        <v>422</v>
      </c>
      <c r="L105">
        <f t="shared" si="2"/>
        <v>0.6</v>
      </c>
    </row>
    <row r="107" spans="1:13" x14ac:dyDescent="0.35">
      <c r="A107" t="s">
        <v>221</v>
      </c>
      <c r="F107" t="s">
        <v>141</v>
      </c>
      <c r="J107" t="s">
        <v>142</v>
      </c>
    </row>
    <row r="108" spans="1:13" x14ac:dyDescent="0.35">
      <c r="A108" t="s">
        <v>125</v>
      </c>
      <c r="B108">
        <f t="shared" ref="B108:B123" si="3">E69/2</f>
        <v>0.5</v>
      </c>
      <c r="F108" t="s">
        <v>125</v>
      </c>
      <c r="G108">
        <f t="shared" ref="G108:G123" si="4">F69/2</f>
        <v>1</v>
      </c>
      <c r="J108" t="s">
        <v>125</v>
      </c>
      <c r="L108">
        <f t="shared" ref="L108:L123" si="5">2/G69</f>
        <v>1</v>
      </c>
    </row>
    <row r="109" spans="1:13" x14ac:dyDescent="0.35">
      <c r="A109" t="s">
        <v>126</v>
      </c>
      <c r="B109">
        <f t="shared" si="3"/>
        <v>0.5</v>
      </c>
      <c r="F109" t="s">
        <v>126</v>
      </c>
      <c r="G109">
        <f t="shared" si="4"/>
        <v>1</v>
      </c>
      <c r="J109" t="s">
        <v>126</v>
      </c>
      <c r="L109">
        <f t="shared" si="5"/>
        <v>0.4</v>
      </c>
    </row>
    <row r="110" spans="1:13" x14ac:dyDescent="0.35">
      <c r="A110" t="s">
        <v>127</v>
      </c>
      <c r="B110">
        <f t="shared" si="3"/>
        <v>0.5</v>
      </c>
      <c r="F110" t="s">
        <v>127</v>
      </c>
      <c r="G110">
        <f t="shared" si="4"/>
        <v>1</v>
      </c>
      <c r="J110" t="s">
        <v>127</v>
      </c>
      <c r="L110">
        <f t="shared" si="5"/>
        <v>1</v>
      </c>
    </row>
    <row r="111" spans="1:13" x14ac:dyDescent="0.35">
      <c r="A111" t="s">
        <v>174</v>
      </c>
      <c r="B111">
        <f t="shared" si="3"/>
        <v>0.5</v>
      </c>
      <c r="F111" t="s">
        <v>174</v>
      </c>
      <c r="G111">
        <f t="shared" si="4"/>
        <v>1</v>
      </c>
      <c r="J111" t="s">
        <v>174</v>
      </c>
      <c r="L111">
        <f t="shared" si="5"/>
        <v>0.4</v>
      </c>
    </row>
    <row r="112" spans="1:13" x14ac:dyDescent="0.35">
      <c r="A112" t="s">
        <v>180</v>
      </c>
      <c r="B112">
        <f t="shared" si="3"/>
        <v>0.5</v>
      </c>
      <c r="F112" t="s">
        <v>180</v>
      </c>
      <c r="G112">
        <f t="shared" si="4"/>
        <v>1</v>
      </c>
      <c r="J112" t="s">
        <v>180</v>
      </c>
      <c r="L112">
        <f t="shared" si="5"/>
        <v>0.4</v>
      </c>
    </row>
    <row r="113" spans="1:19" x14ac:dyDescent="0.35">
      <c r="A113" t="s">
        <v>185</v>
      </c>
      <c r="B113">
        <f t="shared" si="3"/>
        <v>0.5</v>
      </c>
      <c r="F113" t="s">
        <v>185</v>
      </c>
      <c r="G113">
        <f t="shared" si="4"/>
        <v>1</v>
      </c>
      <c r="J113" t="s">
        <v>185</v>
      </c>
      <c r="L113">
        <f t="shared" si="5"/>
        <v>0.4</v>
      </c>
    </row>
    <row r="114" spans="1:19" x14ac:dyDescent="0.35">
      <c r="A114" t="s">
        <v>283</v>
      </c>
      <c r="B114">
        <f t="shared" si="3"/>
        <v>0.5</v>
      </c>
      <c r="F114" t="s">
        <v>283</v>
      </c>
      <c r="G114">
        <f t="shared" si="4"/>
        <v>1</v>
      </c>
      <c r="J114" t="s">
        <v>283</v>
      </c>
      <c r="L114">
        <f t="shared" si="5"/>
        <v>0.4</v>
      </c>
    </row>
    <row r="115" spans="1:19" x14ac:dyDescent="0.35">
      <c r="A115" t="s">
        <v>286</v>
      </c>
      <c r="B115">
        <f>E76/2</f>
        <v>1</v>
      </c>
      <c r="F115" t="s">
        <v>286</v>
      </c>
      <c r="G115">
        <f>F76/2</f>
        <v>1</v>
      </c>
      <c r="J115" t="s">
        <v>286</v>
      </c>
      <c r="L115">
        <f>2/G76</f>
        <v>0.4</v>
      </c>
    </row>
    <row r="116" spans="1:19" x14ac:dyDescent="0.35">
      <c r="A116" t="s">
        <v>287</v>
      </c>
      <c r="B116">
        <f t="shared" si="3"/>
        <v>0.5</v>
      </c>
      <c r="F116" t="s">
        <v>287</v>
      </c>
      <c r="G116">
        <f t="shared" si="4"/>
        <v>1</v>
      </c>
      <c r="J116" t="s">
        <v>287</v>
      </c>
      <c r="L116">
        <f t="shared" si="5"/>
        <v>0.4</v>
      </c>
    </row>
    <row r="117" spans="1:19" x14ac:dyDescent="0.35">
      <c r="A117" t="s">
        <v>288</v>
      </c>
      <c r="B117">
        <f t="shared" si="3"/>
        <v>0.5</v>
      </c>
      <c r="F117" t="s">
        <v>288</v>
      </c>
      <c r="G117">
        <f t="shared" si="4"/>
        <v>1</v>
      </c>
      <c r="J117" t="s">
        <v>288</v>
      </c>
      <c r="L117">
        <f t="shared" si="5"/>
        <v>0.4</v>
      </c>
    </row>
    <row r="118" spans="1:19" x14ac:dyDescent="0.35">
      <c r="A118" t="s">
        <v>417</v>
      </c>
      <c r="B118">
        <f t="shared" si="3"/>
        <v>0.5</v>
      </c>
      <c r="F118" t="s">
        <v>417</v>
      </c>
      <c r="G118">
        <f t="shared" si="4"/>
        <v>1</v>
      </c>
      <c r="J118" t="s">
        <v>417</v>
      </c>
      <c r="L118">
        <f t="shared" si="5"/>
        <v>1</v>
      </c>
    </row>
    <row r="119" spans="1:19" x14ac:dyDescent="0.35">
      <c r="A119" t="s">
        <v>418</v>
      </c>
      <c r="B119">
        <f t="shared" si="3"/>
        <v>0.5</v>
      </c>
      <c r="F119" t="s">
        <v>418</v>
      </c>
      <c r="G119">
        <f t="shared" si="4"/>
        <v>1</v>
      </c>
      <c r="J119" t="s">
        <v>418</v>
      </c>
      <c r="L119">
        <f>2/G80</f>
        <v>0.66666666666666663</v>
      </c>
    </row>
    <row r="120" spans="1:19" x14ac:dyDescent="0.35">
      <c r="A120" t="s">
        <v>419</v>
      </c>
      <c r="B120">
        <f t="shared" si="3"/>
        <v>0.5</v>
      </c>
      <c r="F120" t="s">
        <v>419</v>
      </c>
      <c r="G120" s="81">
        <f>F81/2</f>
        <v>0.5</v>
      </c>
      <c r="J120" t="s">
        <v>419</v>
      </c>
      <c r="L120">
        <f t="shared" si="5"/>
        <v>0.4</v>
      </c>
    </row>
    <row r="121" spans="1:19" x14ac:dyDescent="0.35">
      <c r="A121" t="s">
        <v>420</v>
      </c>
      <c r="B121">
        <f t="shared" si="3"/>
        <v>0.5</v>
      </c>
      <c r="F121" t="s">
        <v>420</v>
      </c>
      <c r="G121">
        <f t="shared" si="4"/>
        <v>1</v>
      </c>
      <c r="J121" t="s">
        <v>420</v>
      </c>
      <c r="L121">
        <f t="shared" si="5"/>
        <v>0.4</v>
      </c>
    </row>
    <row r="122" spans="1:19" x14ac:dyDescent="0.35">
      <c r="A122" t="s">
        <v>421</v>
      </c>
      <c r="B122">
        <f t="shared" si="3"/>
        <v>0.5</v>
      </c>
      <c r="F122" t="s">
        <v>421</v>
      </c>
      <c r="G122">
        <f t="shared" si="4"/>
        <v>0.5</v>
      </c>
      <c r="J122" t="s">
        <v>421</v>
      </c>
      <c r="L122">
        <f t="shared" si="5"/>
        <v>0.4</v>
      </c>
    </row>
    <row r="123" spans="1:19" x14ac:dyDescent="0.35">
      <c r="A123" t="s">
        <v>422</v>
      </c>
      <c r="B123">
        <f t="shared" si="3"/>
        <v>0.5</v>
      </c>
      <c r="F123" t="s">
        <v>422</v>
      </c>
      <c r="G123">
        <f t="shared" si="4"/>
        <v>1</v>
      </c>
      <c r="J123" t="s">
        <v>422</v>
      </c>
      <c r="L123">
        <f t="shared" si="5"/>
        <v>0.4</v>
      </c>
    </row>
    <row r="125" spans="1:19" x14ac:dyDescent="0.35">
      <c r="A125" t="s">
        <v>143</v>
      </c>
      <c r="F125" t="s">
        <v>144</v>
      </c>
      <c r="J125" s="79" t="s">
        <v>494</v>
      </c>
      <c r="K125" s="79"/>
      <c r="L125" s="79"/>
      <c r="M125" s="79"/>
      <c r="N125" s="79"/>
      <c r="P125" s="85" t="s">
        <v>494</v>
      </c>
      <c r="Q125" s="85"/>
      <c r="R125" s="85"/>
      <c r="S125" s="85"/>
    </row>
    <row r="126" spans="1:19" x14ac:dyDescent="0.35">
      <c r="A126" t="s">
        <v>125</v>
      </c>
      <c r="B126">
        <f t="shared" ref="B126:B141" si="6">H69/2</f>
        <v>0.5</v>
      </c>
      <c r="F126" t="s">
        <v>125</v>
      </c>
      <c r="G126" s="19">
        <f t="shared" ref="G126:G141" si="7">I69/3</f>
        <v>0.66666666666666663</v>
      </c>
      <c r="J126" s="79" t="s">
        <v>125</v>
      </c>
      <c r="K126" s="79"/>
      <c r="L126" s="80">
        <f t="shared" ref="L126:L141" si="8">J69/3</f>
        <v>0.66666666666666663</v>
      </c>
      <c r="M126" s="80"/>
      <c r="N126" s="79"/>
      <c r="P126" s="85" t="s">
        <v>125</v>
      </c>
      <c r="Q126" s="86">
        <f>J69/2</f>
        <v>1</v>
      </c>
      <c r="R126" s="85"/>
      <c r="S126" s="85"/>
    </row>
    <row r="127" spans="1:19" x14ac:dyDescent="0.35">
      <c r="A127" t="s">
        <v>126</v>
      </c>
      <c r="B127">
        <f t="shared" si="6"/>
        <v>0.5</v>
      </c>
      <c r="F127" t="s">
        <v>126</v>
      </c>
      <c r="G127" s="19">
        <f t="shared" si="7"/>
        <v>0.66666666666666663</v>
      </c>
      <c r="J127" s="79" t="s">
        <v>126</v>
      </c>
      <c r="K127" s="79"/>
      <c r="L127" s="80">
        <f t="shared" si="8"/>
        <v>0.66666666666666663</v>
      </c>
      <c r="M127" s="80"/>
      <c r="N127" s="79"/>
      <c r="P127" s="85" t="s">
        <v>126</v>
      </c>
      <c r="Q127" s="86">
        <f t="shared" ref="Q127:Q141" si="9">J70/2</f>
        <v>1</v>
      </c>
      <c r="R127" s="85"/>
      <c r="S127" s="85"/>
    </row>
    <row r="128" spans="1:19" x14ac:dyDescent="0.35">
      <c r="A128" t="s">
        <v>127</v>
      </c>
      <c r="B128">
        <f t="shared" si="6"/>
        <v>1</v>
      </c>
      <c r="F128" t="s">
        <v>127</v>
      </c>
      <c r="G128" s="19">
        <f t="shared" si="7"/>
        <v>0.66666666666666663</v>
      </c>
      <c r="J128" s="79" t="s">
        <v>127</v>
      </c>
      <c r="K128" s="79"/>
      <c r="L128" s="80">
        <f t="shared" si="8"/>
        <v>0.66666666666666663</v>
      </c>
      <c r="M128" s="80"/>
      <c r="N128" s="79"/>
      <c r="P128" s="85" t="s">
        <v>127</v>
      </c>
      <c r="Q128" s="86">
        <f t="shared" si="9"/>
        <v>1</v>
      </c>
      <c r="R128" s="85"/>
      <c r="S128" s="85"/>
    </row>
    <row r="129" spans="1:19" x14ac:dyDescent="0.35">
      <c r="A129" t="s">
        <v>174</v>
      </c>
      <c r="B129">
        <f t="shared" si="6"/>
        <v>1</v>
      </c>
      <c r="F129" t="s">
        <v>174</v>
      </c>
      <c r="G129" s="19">
        <f t="shared" si="7"/>
        <v>0.33333333333333331</v>
      </c>
      <c r="J129" s="79" t="s">
        <v>174</v>
      </c>
      <c r="K129" s="79"/>
      <c r="L129" s="80">
        <f t="shared" si="8"/>
        <v>0.66666666666666663</v>
      </c>
      <c r="M129" s="80"/>
      <c r="N129" s="79"/>
      <c r="P129" s="85" t="s">
        <v>174</v>
      </c>
      <c r="Q129" s="86">
        <f t="shared" si="9"/>
        <v>1</v>
      </c>
      <c r="R129" s="85"/>
      <c r="S129" s="85"/>
    </row>
    <row r="130" spans="1:19" x14ac:dyDescent="0.35">
      <c r="A130" t="s">
        <v>180</v>
      </c>
      <c r="B130">
        <f t="shared" si="6"/>
        <v>0.5</v>
      </c>
      <c r="F130" t="s">
        <v>180</v>
      </c>
      <c r="G130" s="19">
        <f t="shared" si="7"/>
        <v>0.66666666666666663</v>
      </c>
      <c r="J130" s="79" t="s">
        <v>180</v>
      </c>
      <c r="K130" s="79"/>
      <c r="L130" s="80">
        <f t="shared" si="8"/>
        <v>0.66666666666666663</v>
      </c>
      <c r="M130" s="80"/>
      <c r="N130" s="79"/>
      <c r="P130" s="85" t="s">
        <v>180</v>
      </c>
      <c r="Q130" s="86">
        <f t="shared" si="9"/>
        <v>1</v>
      </c>
      <c r="R130" s="85"/>
      <c r="S130" s="85"/>
    </row>
    <row r="131" spans="1:19" x14ac:dyDescent="0.35">
      <c r="A131" t="s">
        <v>185</v>
      </c>
      <c r="B131">
        <f t="shared" si="6"/>
        <v>1</v>
      </c>
      <c r="F131" t="s">
        <v>185</v>
      </c>
      <c r="G131" s="19">
        <f t="shared" si="7"/>
        <v>0.66666666666666663</v>
      </c>
      <c r="J131" s="79" t="s">
        <v>185</v>
      </c>
      <c r="K131" s="79"/>
      <c r="L131" s="80">
        <f t="shared" si="8"/>
        <v>0.66666666666666663</v>
      </c>
      <c r="M131" s="80"/>
      <c r="N131" s="79"/>
      <c r="P131" s="85" t="s">
        <v>185</v>
      </c>
      <c r="Q131" s="86">
        <f t="shared" si="9"/>
        <v>1</v>
      </c>
      <c r="R131" s="85"/>
      <c r="S131" s="85"/>
    </row>
    <row r="132" spans="1:19" x14ac:dyDescent="0.35">
      <c r="A132" t="s">
        <v>283</v>
      </c>
      <c r="B132">
        <f t="shared" si="6"/>
        <v>1</v>
      </c>
      <c r="F132" t="s">
        <v>283</v>
      </c>
      <c r="G132" s="19">
        <f t="shared" si="7"/>
        <v>0.66666666666666663</v>
      </c>
      <c r="J132" s="79" t="s">
        <v>283</v>
      </c>
      <c r="K132" s="79"/>
      <c r="L132" s="80">
        <f t="shared" si="8"/>
        <v>0.33333333333333331</v>
      </c>
      <c r="M132" s="80"/>
      <c r="N132" s="79"/>
      <c r="P132" s="85" t="s">
        <v>283</v>
      </c>
      <c r="Q132" s="86">
        <f t="shared" si="9"/>
        <v>0.5</v>
      </c>
      <c r="R132" s="85"/>
      <c r="S132" s="85"/>
    </row>
    <row r="133" spans="1:19" x14ac:dyDescent="0.35">
      <c r="A133" t="s">
        <v>286</v>
      </c>
      <c r="B133">
        <f>H76/2</f>
        <v>0.5</v>
      </c>
      <c r="F133" t="s">
        <v>286</v>
      </c>
      <c r="G133" s="19">
        <f>I76/3</f>
        <v>0.66666666666666663</v>
      </c>
      <c r="J133" s="79" t="s">
        <v>286</v>
      </c>
      <c r="K133" s="79"/>
      <c r="L133" s="80">
        <f>J76/3</f>
        <v>0.33333333333333331</v>
      </c>
      <c r="M133" s="80"/>
      <c r="N133" s="79"/>
      <c r="P133" s="85" t="s">
        <v>286</v>
      </c>
      <c r="Q133" s="86">
        <f t="shared" si="9"/>
        <v>0.5</v>
      </c>
      <c r="R133" s="85"/>
      <c r="S133" s="85"/>
    </row>
    <row r="134" spans="1:19" x14ac:dyDescent="0.35">
      <c r="A134" t="s">
        <v>287</v>
      </c>
      <c r="B134">
        <f t="shared" si="6"/>
        <v>0.5</v>
      </c>
      <c r="F134" t="s">
        <v>287</v>
      </c>
      <c r="G134" s="19">
        <f t="shared" si="7"/>
        <v>0.66666666666666663</v>
      </c>
      <c r="J134" s="79" t="s">
        <v>287</v>
      </c>
      <c r="K134" s="79"/>
      <c r="L134" s="80">
        <f t="shared" si="8"/>
        <v>0.33333333333333331</v>
      </c>
      <c r="M134" s="80"/>
      <c r="N134" s="79"/>
      <c r="P134" s="85" t="s">
        <v>287</v>
      </c>
      <c r="Q134" s="86">
        <f t="shared" si="9"/>
        <v>0.5</v>
      </c>
      <c r="R134" s="85"/>
      <c r="S134" s="85"/>
    </row>
    <row r="135" spans="1:19" x14ac:dyDescent="0.35">
      <c r="A135" t="s">
        <v>288</v>
      </c>
      <c r="B135">
        <f t="shared" si="6"/>
        <v>0.5</v>
      </c>
      <c r="F135" t="s">
        <v>288</v>
      </c>
      <c r="G135" s="19">
        <f t="shared" si="7"/>
        <v>0.66666666666666663</v>
      </c>
      <c r="J135" s="79" t="s">
        <v>288</v>
      </c>
      <c r="K135" s="79"/>
      <c r="L135" s="80">
        <f t="shared" si="8"/>
        <v>0.33333333333333331</v>
      </c>
      <c r="M135" s="80"/>
      <c r="N135" s="79"/>
      <c r="P135" s="85" t="s">
        <v>288</v>
      </c>
      <c r="Q135" s="86">
        <f t="shared" si="9"/>
        <v>0.5</v>
      </c>
      <c r="R135" s="85"/>
      <c r="S135" s="85"/>
    </row>
    <row r="136" spans="1:19" x14ac:dyDescent="0.35">
      <c r="A136" t="s">
        <v>417</v>
      </c>
      <c r="B136">
        <f t="shared" si="6"/>
        <v>0.5</v>
      </c>
      <c r="F136" t="s">
        <v>417</v>
      </c>
      <c r="G136" s="19">
        <f t="shared" si="7"/>
        <v>0.66666666666666663</v>
      </c>
      <c r="J136" s="79" t="s">
        <v>417</v>
      </c>
      <c r="K136" s="79"/>
      <c r="L136" s="80">
        <f t="shared" si="8"/>
        <v>0.66666666666666663</v>
      </c>
      <c r="M136" s="80"/>
      <c r="N136" s="79"/>
      <c r="P136" s="85" t="s">
        <v>417</v>
      </c>
      <c r="Q136" s="86">
        <f t="shared" si="9"/>
        <v>1</v>
      </c>
      <c r="R136" s="85"/>
      <c r="S136" s="85"/>
    </row>
    <row r="137" spans="1:19" x14ac:dyDescent="0.35">
      <c r="A137" t="s">
        <v>418</v>
      </c>
      <c r="B137">
        <f t="shared" si="6"/>
        <v>1</v>
      </c>
      <c r="F137" t="s">
        <v>418</v>
      </c>
      <c r="G137" s="19">
        <f t="shared" si="7"/>
        <v>0.66666666666666663</v>
      </c>
      <c r="J137" s="79" t="s">
        <v>418</v>
      </c>
      <c r="K137" s="79"/>
      <c r="L137" s="80">
        <f t="shared" si="8"/>
        <v>0.33333333333333331</v>
      </c>
      <c r="M137" s="80"/>
      <c r="N137" s="79"/>
      <c r="P137" s="85" t="s">
        <v>418</v>
      </c>
      <c r="Q137" s="86">
        <f t="shared" si="9"/>
        <v>0.5</v>
      </c>
      <c r="R137" s="85"/>
      <c r="S137" s="85"/>
    </row>
    <row r="138" spans="1:19" x14ac:dyDescent="0.35">
      <c r="A138" t="s">
        <v>419</v>
      </c>
      <c r="B138">
        <f>H81/2</f>
        <v>1</v>
      </c>
      <c r="F138" t="s">
        <v>419</v>
      </c>
      <c r="G138" s="82">
        <f>I81/3</f>
        <v>0.33333333333333331</v>
      </c>
      <c r="J138" s="79" t="s">
        <v>419</v>
      </c>
      <c r="K138" s="79"/>
      <c r="L138" s="80">
        <f t="shared" si="8"/>
        <v>0.33333333333333331</v>
      </c>
      <c r="M138" s="80"/>
      <c r="N138" s="79"/>
      <c r="P138" s="85" t="s">
        <v>419</v>
      </c>
      <c r="Q138" s="86">
        <f t="shared" si="9"/>
        <v>0.5</v>
      </c>
      <c r="R138" s="85"/>
      <c r="S138" s="85"/>
    </row>
    <row r="139" spans="1:19" x14ac:dyDescent="0.35">
      <c r="A139" t="s">
        <v>420</v>
      </c>
      <c r="B139">
        <f t="shared" si="6"/>
        <v>1</v>
      </c>
      <c r="F139" t="s">
        <v>420</v>
      </c>
      <c r="G139" s="19">
        <f t="shared" si="7"/>
        <v>0.66666666666666663</v>
      </c>
      <c r="J139" s="79" t="s">
        <v>420</v>
      </c>
      <c r="K139" s="79"/>
      <c r="L139" s="80">
        <f t="shared" si="8"/>
        <v>0.33333333333333331</v>
      </c>
      <c r="M139" s="80"/>
      <c r="N139" s="79"/>
      <c r="P139" s="85" t="s">
        <v>420</v>
      </c>
      <c r="Q139" s="86">
        <f t="shared" si="9"/>
        <v>0.5</v>
      </c>
      <c r="R139" s="85"/>
      <c r="S139" s="85"/>
    </row>
    <row r="140" spans="1:19" x14ac:dyDescent="0.35">
      <c r="A140" t="s">
        <v>421</v>
      </c>
      <c r="B140">
        <f t="shared" si="6"/>
        <v>1</v>
      </c>
      <c r="F140" t="s">
        <v>421</v>
      </c>
      <c r="G140" s="19">
        <f t="shared" si="7"/>
        <v>1</v>
      </c>
      <c r="J140" s="79" t="s">
        <v>421</v>
      </c>
      <c r="K140" s="79"/>
      <c r="L140" s="80">
        <f t="shared" si="8"/>
        <v>0.66666666666666663</v>
      </c>
      <c r="M140" s="80"/>
      <c r="N140" s="79"/>
      <c r="P140" s="85" t="s">
        <v>421</v>
      </c>
      <c r="Q140" s="86">
        <f t="shared" si="9"/>
        <v>1</v>
      </c>
      <c r="R140" s="85"/>
      <c r="S140" s="85"/>
    </row>
    <row r="141" spans="1:19" x14ac:dyDescent="0.35">
      <c r="A141" t="s">
        <v>422</v>
      </c>
      <c r="B141">
        <f t="shared" si="6"/>
        <v>1</v>
      </c>
      <c r="F141" t="s">
        <v>422</v>
      </c>
      <c r="G141" s="19">
        <f t="shared" si="7"/>
        <v>0.66666666666666663</v>
      </c>
      <c r="J141" s="79" t="s">
        <v>422</v>
      </c>
      <c r="K141" s="79"/>
      <c r="L141" s="80">
        <f t="shared" si="8"/>
        <v>0.66666666666666663</v>
      </c>
      <c r="M141" s="80"/>
      <c r="N141" s="79"/>
      <c r="P141" s="85" t="s">
        <v>422</v>
      </c>
      <c r="Q141" s="86">
        <f t="shared" si="9"/>
        <v>1</v>
      </c>
      <c r="R141" s="85"/>
      <c r="S141" s="85"/>
    </row>
    <row r="142" spans="1:19" x14ac:dyDescent="0.35">
      <c r="L142" t="s">
        <v>492</v>
      </c>
      <c r="Q142" t="s">
        <v>495</v>
      </c>
    </row>
    <row r="143" spans="1:19" x14ac:dyDescent="0.35">
      <c r="A143" t="s">
        <v>145</v>
      </c>
    </row>
    <row r="144" spans="1:19" x14ac:dyDescent="0.35">
      <c r="J144" t="s">
        <v>492</v>
      </c>
      <c r="L144" t="s">
        <v>495</v>
      </c>
    </row>
    <row r="145" spans="1:27" x14ac:dyDescent="0.35">
      <c r="A145" s="9" t="s">
        <v>136</v>
      </c>
      <c r="B145" s="9" t="s">
        <v>17</v>
      </c>
      <c r="C145" s="9" t="s">
        <v>18</v>
      </c>
      <c r="D145" s="9" t="s">
        <v>19</v>
      </c>
      <c r="E145" s="9" t="s">
        <v>20</v>
      </c>
      <c r="F145" s="9" t="s">
        <v>21</v>
      </c>
      <c r="G145" s="9" t="s">
        <v>22</v>
      </c>
      <c r="H145" s="9" t="s">
        <v>23</v>
      </c>
      <c r="I145" s="9" t="s">
        <v>24</v>
      </c>
      <c r="J145" s="87" t="s">
        <v>25</v>
      </c>
      <c r="K145" s="87"/>
      <c r="L145" s="66" t="s">
        <v>25</v>
      </c>
      <c r="M145" s="66"/>
      <c r="N145" s="9"/>
      <c r="R145" t="s">
        <v>136</v>
      </c>
      <c r="S145" t="s">
        <v>17</v>
      </c>
      <c r="T145" t="s">
        <v>18</v>
      </c>
      <c r="U145" t="s">
        <v>19</v>
      </c>
      <c r="V145" t="s">
        <v>20</v>
      </c>
      <c r="W145" t="s">
        <v>21</v>
      </c>
      <c r="X145" t="s">
        <v>22</v>
      </c>
      <c r="Y145" t="s">
        <v>23</v>
      </c>
      <c r="Z145" t="s">
        <v>24</v>
      </c>
      <c r="AA145" t="s">
        <v>25</v>
      </c>
    </row>
    <row r="146" spans="1:27" x14ac:dyDescent="0.35">
      <c r="A146" s="9" t="s">
        <v>125</v>
      </c>
      <c r="B146" s="59">
        <f>B90</f>
        <v>1</v>
      </c>
      <c r="C146" s="59">
        <f>G90</f>
        <v>0.8</v>
      </c>
      <c r="D146" s="59">
        <f t="shared" ref="D146:D161" si="10">L90</f>
        <v>0.6</v>
      </c>
      <c r="E146" s="59">
        <f>B108</f>
        <v>0.5</v>
      </c>
      <c r="F146" s="59">
        <f>G108</f>
        <v>1</v>
      </c>
      <c r="G146" s="59">
        <f>L108</f>
        <v>1</v>
      </c>
      <c r="H146" s="59">
        <f>B126</f>
        <v>0.5</v>
      </c>
      <c r="I146" s="59">
        <f>G126</f>
        <v>0.66666666666666663</v>
      </c>
      <c r="J146" s="88">
        <f>L126</f>
        <v>0.66666666666666663</v>
      </c>
      <c r="K146" s="88"/>
      <c r="L146" s="86">
        <f t="shared" ref="L146:L161" si="11">Q126</f>
        <v>1</v>
      </c>
      <c r="M146" s="86"/>
      <c r="N146" s="20"/>
      <c r="R146" t="s">
        <v>125</v>
      </c>
      <c r="S146">
        <v>1</v>
      </c>
      <c r="T146">
        <v>0.8</v>
      </c>
      <c r="U146">
        <v>0.6</v>
      </c>
      <c r="V146">
        <v>0.5</v>
      </c>
      <c r="W146">
        <v>1</v>
      </c>
      <c r="X146">
        <v>1</v>
      </c>
      <c r="Y146">
        <v>0.5</v>
      </c>
      <c r="Z146">
        <v>0.66666666666666663</v>
      </c>
      <c r="AA146">
        <v>1</v>
      </c>
    </row>
    <row r="147" spans="1:27" x14ac:dyDescent="0.35">
      <c r="A147" s="9" t="s">
        <v>126</v>
      </c>
      <c r="B147" s="59">
        <f t="shared" ref="B147:B161" si="12">B91</f>
        <v>0.5</v>
      </c>
      <c r="C147" s="59">
        <f t="shared" ref="C147:C161" si="13">G91</f>
        <v>1</v>
      </c>
      <c r="D147" s="59">
        <f t="shared" si="10"/>
        <v>0.6</v>
      </c>
      <c r="E147" s="59">
        <f t="shared" ref="E147:E161" si="14">B109</f>
        <v>0.5</v>
      </c>
      <c r="F147" s="59">
        <f t="shared" ref="F147:F161" si="15">G109</f>
        <v>1</v>
      </c>
      <c r="G147" s="59">
        <f t="shared" ref="G147:G161" si="16">L109</f>
        <v>0.4</v>
      </c>
      <c r="H147" s="59">
        <f t="shared" ref="H147:H161" si="17">B127</f>
        <v>0.5</v>
      </c>
      <c r="I147" s="59">
        <f t="shared" ref="I147:I161" si="18">G127</f>
        <v>0.66666666666666663</v>
      </c>
      <c r="J147" s="88">
        <f t="shared" ref="J147:J161" si="19">L127</f>
        <v>0.66666666666666663</v>
      </c>
      <c r="K147" s="88"/>
      <c r="L147" s="86">
        <f t="shared" si="11"/>
        <v>1</v>
      </c>
      <c r="M147" s="86"/>
      <c r="N147" s="20"/>
      <c r="R147" t="s">
        <v>126</v>
      </c>
      <c r="S147">
        <v>0.5</v>
      </c>
      <c r="T147">
        <v>1</v>
      </c>
      <c r="U147">
        <v>0.6</v>
      </c>
      <c r="V147">
        <v>0.5</v>
      </c>
      <c r="W147">
        <v>1</v>
      </c>
      <c r="X147">
        <v>0.4</v>
      </c>
      <c r="Y147">
        <v>0.5</v>
      </c>
      <c r="Z147">
        <v>0.66666666666666663</v>
      </c>
      <c r="AA147">
        <v>1</v>
      </c>
    </row>
    <row r="148" spans="1:27" x14ac:dyDescent="0.35">
      <c r="A148" s="9" t="s">
        <v>127</v>
      </c>
      <c r="B148" s="59">
        <f t="shared" si="12"/>
        <v>0.33333333333333331</v>
      </c>
      <c r="C148" s="59">
        <f t="shared" si="13"/>
        <v>1</v>
      </c>
      <c r="D148" s="59">
        <f t="shared" si="10"/>
        <v>1</v>
      </c>
      <c r="E148" s="59">
        <f t="shared" si="14"/>
        <v>0.5</v>
      </c>
      <c r="F148" s="59">
        <f t="shared" si="15"/>
        <v>1</v>
      </c>
      <c r="G148" s="59">
        <f t="shared" si="16"/>
        <v>1</v>
      </c>
      <c r="H148" s="59">
        <f t="shared" si="17"/>
        <v>1</v>
      </c>
      <c r="I148" s="59">
        <f t="shared" si="18"/>
        <v>0.66666666666666663</v>
      </c>
      <c r="J148" s="88">
        <f t="shared" si="19"/>
        <v>0.66666666666666663</v>
      </c>
      <c r="K148" s="88"/>
      <c r="L148" s="86">
        <f t="shared" si="11"/>
        <v>1</v>
      </c>
      <c r="M148" s="86"/>
      <c r="N148" s="9"/>
      <c r="R148" t="s">
        <v>127</v>
      </c>
      <c r="S148">
        <v>0.33333333333333331</v>
      </c>
      <c r="T148">
        <v>1</v>
      </c>
      <c r="U148">
        <v>1</v>
      </c>
      <c r="V148">
        <v>0.5</v>
      </c>
      <c r="W148">
        <v>1</v>
      </c>
      <c r="X148">
        <v>1</v>
      </c>
      <c r="Y148">
        <v>1</v>
      </c>
      <c r="Z148">
        <v>0.66666666666666663</v>
      </c>
      <c r="AA148">
        <v>1</v>
      </c>
    </row>
    <row r="149" spans="1:27" x14ac:dyDescent="0.35">
      <c r="A149" s="9" t="s">
        <v>174</v>
      </c>
      <c r="B149" s="59">
        <f t="shared" si="12"/>
        <v>1</v>
      </c>
      <c r="C149" s="59">
        <f t="shared" si="13"/>
        <v>0.4</v>
      </c>
      <c r="D149" s="59">
        <f t="shared" si="10"/>
        <v>1</v>
      </c>
      <c r="E149" s="59">
        <f t="shared" si="14"/>
        <v>0.5</v>
      </c>
      <c r="F149" s="59">
        <f t="shared" si="15"/>
        <v>1</v>
      </c>
      <c r="G149" s="59">
        <f t="shared" si="16"/>
        <v>0.4</v>
      </c>
      <c r="H149" s="59">
        <f t="shared" si="17"/>
        <v>1</v>
      </c>
      <c r="I149" s="59">
        <f t="shared" si="18"/>
        <v>0.33333333333333331</v>
      </c>
      <c r="J149" s="88">
        <f t="shared" si="19"/>
        <v>0.66666666666666663</v>
      </c>
      <c r="K149" s="88"/>
      <c r="L149" s="86">
        <f t="shared" si="11"/>
        <v>1</v>
      </c>
      <c r="M149" s="86"/>
      <c r="N149" s="9"/>
      <c r="R149" t="s">
        <v>174</v>
      </c>
      <c r="S149">
        <v>1</v>
      </c>
      <c r="T149">
        <v>0.4</v>
      </c>
      <c r="U149">
        <v>1</v>
      </c>
      <c r="V149">
        <v>0.5</v>
      </c>
      <c r="W149">
        <v>1</v>
      </c>
      <c r="X149">
        <v>0.4</v>
      </c>
      <c r="Y149">
        <v>1</v>
      </c>
      <c r="Z149">
        <v>0.33333333333333331</v>
      </c>
      <c r="AA149">
        <v>1</v>
      </c>
    </row>
    <row r="150" spans="1:27" x14ac:dyDescent="0.35">
      <c r="A150" s="9" t="s">
        <v>180</v>
      </c>
      <c r="B150" s="59">
        <f t="shared" si="12"/>
        <v>0.33333333333333331</v>
      </c>
      <c r="C150" s="89">
        <f t="shared" si="13"/>
        <v>0.8</v>
      </c>
      <c r="D150" s="59">
        <f t="shared" si="10"/>
        <v>0.6</v>
      </c>
      <c r="E150" s="59">
        <f t="shared" si="14"/>
        <v>0.5</v>
      </c>
      <c r="F150" s="59">
        <f t="shared" si="15"/>
        <v>1</v>
      </c>
      <c r="G150" s="59">
        <f t="shared" si="16"/>
        <v>0.4</v>
      </c>
      <c r="H150" s="59">
        <f t="shared" si="17"/>
        <v>0.5</v>
      </c>
      <c r="I150" s="59">
        <f t="shared" si="18"/>
        <v>0.66666666666666663</v>
      </c>
      <c r="J150" s="88">
        <f t="shared" si="19"/>
        <v>0.66666666666666663</v>
      </c>
      <c r="K150" s="88"/>
      <c r="L150" s="86">
        <f t="shared" si="11"/>
        <v>1</v>
      </c>
      <c r="M150" s="86"/>
      <c r="N150" s="9"/>
      <c r="R150" t="s">
        <v>180</v>
      </c>
      <c r="S150">
        <v>0.33333333333333331</v>
      </c>
      <c r="T150">
        <v>0.6</v>
      </c>
      <c r="U150">
        <v>0.6</v>
      </c>
      <c r="V150">
        <v>0.5</v>
      </c>
      <c r="W150">
        <v>1</v>
      </c>
      <c r="X150">
        <v>0.4</v>
      </c>
      <c r="Y150">
        <v>0.5</v>
      </c>
      <c r="Z150">
        <v>0.66666666666666663</v>
      </c>
      <c r="AA150">
        <v>1</v>
      </c>
    </row>
    <row r="151" spans="1:27" x14ac:dyDescent="0.35">
      <c r="A151" s="9" t="s">
        <v>185</v>
      </c>
      <c r="B151" s="59">
        <f t="shared" si="12"/>
        <v>0.33333333333333331</v>
      </c>
      <c r="C151" s="59">
        <f>G95</f>
        <v>0.8</v>
      </c>
      <c r="D151" s="59">
        <f t="shared" si="10"/>
        <v>0.6</v>
      </c>
      <c r="E151" s="59">
        <f t="shared" si="14"/>
        <v>0.5</v>
      </c>
      <c r="F151" s="59">
        <f t="shared" si="15"/>
        <v>1</v>
      </c>
      <c r="G151" s="59">
        <f t="shared" si="16"/>
        <v>0.4</v>
      </c>
      <c r="H151" s="59">
        <f t="shared" si="17"/>
        <v>1</v>
      </c>
      <c r="I151" s="59">
        <f t="shared" si="18"/>
        <v>0.66666666666666663</v>
      </c>
      <c r="J151" s="88">
        <f t="shared" si="19"/>
        <v>0.66666666666666663</v>
      </c>
      <c r="K151" s="88"/>
      <c r="L151" s="86">
        <f t="shared" si="11"/>
        <v>1</v>
      </c>
      <c r="M151" s="86"/>
      <c r="N151" s="9"/>
      <c r="R151" t="s">
        <v>185</v>
      </c>
      <c r="S151">
        <v>0.33333333333333331</v>
      </c>
      <c r="T151">
        <v>0.8</v>
      </c>
      <c r="U151">
        <v>0.6</v>
      </c>
      <c r="V151">
        <v>0.5</v>
      </c>
      <c r="W151">
        <v>1</v>
      </c>
      <c r="X151">
        <v>0.4</v>
      </c>
      <c r="Y151">
        <v>1</v>
      </c>
      <c r="Z151">
        <v>0.66666666666666663</v>
      </c>
      <c r="AA151">
        <v>1</v>
      </c>
    </row>
    <row r="152" spans="1:27" x14ac:dyDescent="0.35">
      <c r="A152" s="9" t="s">
        <v>283</v>
      </c>
      <c r="B152" s="59">
        <f t="shared" si="12"/>
        <v>0.5</v>
      </c>
      <c r="C152" s="59">
        <f t="shared" si="13"/>
        <v>0.6</v>
      </c>
      <c r="D152" s="59">
        <f t="shared" si="10"/>
        <v>0.6</v>
      </c>
      <c r="E152" s="59">
        <f t="shared" si="14"/>
        <v>0.5</v>
      </c>
      <c r="F152" s="59">
        <f t="shared" si="15"/>
        <v>1</v>
      </c>
      <c r="G152" s="59">
        <f t="shared" si="16"/>
        <v>0.4</v>
      </c>
      <c r="H152" s="59">
        <f t="shared" si="17"/>
        <v>1</v>
      </c>
      <c r="I152" s="59">
        <f t="shared" si="18"/>
        <v>0.66666666666666663</v>
      </c>
      <c r="J152" s="88">
        <f>L132</f>
        <v>0.33333333333333331</v>
      </c>
      <c r="K152" s="88"/>
      <c r="L152" s="86">
        <f t="shared" si="11"/>
        <v>0.5</v>
      </c>
      <c r="M152" s="86"/>
      <c r="N152" s="9"/>
      <c r="R152" t="s">
        <v>283</v>
      </c>
      <c r="S152">
        <v>0.5</v>
      </c>
      <c r="T152">
        <v>0.6</v>
      </c>
      <c r="U152">
        <v>0.6</v>
      </c>
      <c r="V152">
        <v>0.5</v>
      </c>
      <c r="W152">
        <v>1</v>
      </c>
      <c r="X152">
        <v>0.4</v>
      </c>
      <c r="Y152">
        <v>1</v>
      </c>
      <c r="Z152">
        <v>0.66666666666666663</v>
      </c>
      <c r="AA152">
        <v>0.66666666666666663</v>
      </c>
    </row>
    <row r="153" spans="1:27" x14ac:dyDescent="0.35">
      <c r="A153" s="9" t="s">
        <v>286</v>
      </c>
      <c r="B153" s="59">
        <f t="shared" si="12"/>
        <v>1</v>
      </c>
      <c r="C153" s="59">
        <f t="shared" si="13"/>
        <v>0.2</v>
      </c>
      <c r="D153" s="59">
        <f t="shared" si="10"/>
        <v>1</v>
      </c>
      <c r="E153" s="59">
        <f t="shared" si="14"/>
        <v>1</v>
      </c>
      <c r="F153" s="59">
        <f t="shared" si="15"/>
        <v>1</v>
      </c>
      <c r="G153" s="59">
        <f t="shared" si="16"/>
        <v>0.4</v>
      </c>
      <c r="H153" s="59">
        <f>B133</f>
        <v>0.5</v>
      </c>
      <c r="I153" s="59">
        <f t="shared" si="18"/>
        <v>0.66666666666666663</v>
      </c>
      <c r="J153" s="88">
        <f t="shared" si="19"/>
        <v>0.33333333333333331</v>
      </c>
      <c r="K153" s="88"/>
      <c r="L153" s="86">
        <f t="shared" si="11"/>
        <v>0.5</v>
      </c>
      <c r="M153" s="86"/>
      <c r="N153" s="9"/>
      <c r="R153" t="s">
        <v>286</v>
      </c>
      <c r="S153">
        <v>1</v>
      </c>
      <c r="T153">
        <v>0.2</v>
      </c>
      <c r="U153">
        <v>1</v>
      </c>
      <c r="V153">
        <v>1</v>
      </c>
      <c r="W153">
        <v>1</v>
      </c>
      <c r="X153">
        <v>0.4</v>
      </c>
      <c r="Y153">
        <v>0.5</v>
      </c>
      <c r="Z153">
        <v>0.66666666666666663</v>
      </c>
      <c r="AA153">
        <v>0.66666666666666663</v>
      </c>
    </row>
    <row r="154" spans="1:27" x14ac:dyDescent="0.35">
      <c r="A154" s="9" t="s">
        <v>287</v>
      </c>
      <c r="B154" s="59">
        <f t="shared" si="12"/>
        <v>0.5</v>
      </c>
      <c r="C154" s="59">
        <f t="shared" si="13"/>
        <v>0.6</v>
      </c>
      <c r="D154" s="59">
        <f t="shared" si="10"/>
        <v>0.6</v>
      </c>
      <c r="E154" s="59">
        <f t="shared" si="14"/>
        <v>0.5</v>
      </c>
      <c r="F154" s="59">
        <f t="shared" si="15"/>
        <v>1</v>
      </c>
      <c r="G154" s="59">
        <f t="shared" si="16"/>
        <v>0.4</v>
      </c>
      <c r="H154" s="59">
        <f t="shared" si="17"/>
        <v>0.5</v>
      </c>
      <c r="I154" s="59">
        <f t="shared" si="18"/>
        <v>0.66666666666666663</v>
      </c>
      <c r="J154" s="88">
        <f t="shared" si="19"/>
        <v>0.33333333333333331</v>
      </c>
      <c r="K154" s="88"/>
      <c r="L154" s="86">
        <f t="shared" si="11"/>
        <v>0.5</v>
      </c>
      <c r="M154" s="86"/>
      <c r="N154" s="9"/>
      <c r="R154" t="s">
        <v>287</v>
      </c>
      <c r="S154">
        <v>0.5</v>
      </c>
      <c r="T154">
        <v>0.6</v>
      </c>
      <c r="U154">
        <v>0.6</v>
      </c>
      <c r="V154">
        <v>0.5</v>
      </c>
      <c r="W154">
        <v>1</v>
      </c>
      <c r="X154">
        <v>0.4</v>
      </c>
      <c r="Y154">
        <v>0.5</v>
      </c>
      <c r="Z154">
        <v>0.66666666666666663</v>
      </c>
      <c r="AA154">
        <v>0.66666666666666663</v>
      </c>
    </row>
    <row r="155" spans="1:27" x14ac:dyDescent="0.35">
      <c r="A155" s="9" t="s">
        <v>288</v>
      </c>
      <c r="B155" s="59">
        <f t="shared" si="12"/>
        <v>1</v>
      </c>
      <c r="C155" s="59">
        <f t="shared" si="13"/>
        <v>0.4</v>
      </c>
      <c r="D155" s="59">
        <f t="shared" si="10"/>
        <v>0.6</v>
      </c>
      <c r="E155" s="59">
        <f t="shared" si="14"/>
        <v>0.5</v>
      </c>
      <c r="F155" s="59">
        <f t="shared" si="15"/>
        <v>1</v>
      </c>
      <c r="G155" s="59">
        <f t="shared" si="16"/>
        <v>0.4</v>
      </c>
      <c r="H155" s="59">
        <f t="shared" si="17"/>
        <v>0.5</v>
      </c>
      <c r="I155" s="59">
        <f t="shared" si="18"/>
        <v>0.66666666666666663</v>
      </c>
      <c r="J155" s="88">
        <f t="shared" si="19"/>
        <v>0.33333333333333331</v>
      </c>
      <c r="K155" s="88"/>
      <c r="L155" s="86">
        <f t="shared" si="11"/>
        <v>0.5</v>
      </c>
      <c r="M155" s="86"/>
      <c r="R155" t="s">
        <v>288</v>
      </c>
      <c r="S155">
        <v>1</v>
      </c>
      <c r="T155">
        <v>0.4</v>
      </c>
      <c r="U155">
        <v>0.6</v>
      </c>
      <c r="V155">
        <v>0.5</v>
      </c>
      <c r="W155">
        <v>1</v>
      </c>
      <c r="X155">
        <v>0.4</v>
      </c>
      <c r="Y155">
        <v>0.5</v>
      </c>
      <c r="Z155">
        <v>0.66666666666666663</v>
      </c>
      <c r="AA155">
        <v>0.66666666666666663</v>
      </c>
    </row>
    <row r="156" spans="1:27" x14ac:dyDescent="0.35">
      <c r="A156" s="9" t="s">
        <v>417</v>
      </c>
      <c r="B156" s="59">
        <f t="shared" si="12"/>
        <v>1</v>
      </c>
      <c r="C156" s="59">
        <f t="shared" si="13"/>
        <v>0.6</v>
      </c>
      <c r="D156" s="59">
        <f t="shared" si="10"/>
        <v>0.6</v>
      </c>
      <c r="E156" s="59">
        <f t="shared" si="14"/>
        <v>0.5</v>
      </c>
      <c r="F156" s="59">
        <f t="shared" si="15"/>
        <v>1</v>
      </c>
      <c r="G156" s="59">
        <f t="shared" si="16"/>
        <v>1</v>
      </c>
      <c r="H156" s="59">
        <f t="shared" si="17"/>
        <v>0.5</v>
      </c>
      <c r="I156" s="59">
        <f t="shared" si="18"/>
        <v>0.66666666666666663</v>
      </c>
      <c r="J156" s="88">
        <f t="shared" si="19"/>
        <v>0.66666666666666663</v>
      </c>
      <c r="K156" s="88"/>
      <c r="L156" s="86">
        <f t="shared" si="11"/>
        <v>1</v>
      </c>
      <c r="M156" s="86"/>
      <c r="R156" t="s">
        <v>417</v>
      </c>
      <c r="S156">
        <v>1</v>
      </c>
      <c r="T156">
        <v>0.6</v>
      </c>
      <c r="U156">
        <v>0.6</v>
      </c>
      <c r="V156">
        <v>0.5</v>
      </c>
      <c r="W156">
        <v>1</v>
      </c>
      <c r="X156">
        <v>1</v>
      </c>
      <c r="Y156">
        <v>0.5</v>
      </c>
      <c r="Z156">
        <v>0.66666666666666663</v>
      </c>
      <c r="AA156">
        <v>1</v>
      </c>
    </row>
    <row r="157" spans="1:27" x14ac:dyDescent="0.35">
      <c r="A157" s="9" t="s">
        <v>418</v>
      </c>
      <c r="B157" s="59">
        <f t="shared" si="12"/>
        <v>1</v>
      </c>
      <c r="C157" s="59">
        <f t="shared" si="13"/>
        <v>0.6</v>
      </c>
      <c r="D157" s="59">
        <f t="shared" si="10"/>
        <v>0.6</v>
      </c>
      <c r="E157" s="59">
        <f t="shared" si="14"/>
        <v>0.5</v>
      </c>
      <c r="F157" s="59">
        <f t="shared" si="15"/>
        <v>1</v>
      </c>
      <c r="G157" s="59">
        <f>L119</f>
        <v>0.66666666666666663</v>
      </c>
      <c r="H157" s="59">
        <f t="shared" si="17"/>
        <v>1</v>
      </c>
      <c r="I157" s="59">
        <f t="shared" si="18"/>
        <v>0.66666666666666663</v>
      </c>
      <c r="J157" s="88">
        <f t="shared" si="19"/>
        <v>0.33333333333333331</v>
      </c>
      <c r="K157" s="88"/>
      <c r="L157" s="86">
        <f t="shared" si="11"/>
        <v>0.5</v>
      </c>
      <c r="M157" s="86"/>
      <c r="R157" t="s">
        <v>418</v>
      </c>
      <c r="S157">
        <v>1</v>
      </c>
      <c r="T157">
        <v>0.6</v>
      </c>
      <c r="U157">
        <v>0.6</v>
      </c>
      <c r="V157">
        <v>0.5</v>
      </c>
      <c r="W157">
        <v>1</v>
      </c>
      <c r="X157">
        <v>0.66666666666666663</v>
      </c>
      <c r="Y157">
        <v>1</v>
      </c>
      <c r="Z157">
        <v>0.66666666666666663</v>
      </c>
      <c r="AA157">
        <v>0.33333333333333331</v>
      </c>
    </row>
    <row r="158" spans="1:27" x14ac:dyDescent="0.35">
      <c r="A158" s="9" t="s">
        <v>419</v>
      </c>
      <c r="B158" s="59">
        <f t="shared" si="12"/>
        <v>1</v>
      </c>
      <c r="C158" s="59">
        <f t="shared" si="13"/>
        <v>0.6</v>
      </c>
      <c r="D158" s="89">
        <f t="shared" si="10"/>
        <v>0.8</v>
      </c>
      <c r="E158" s="59">
        <f t="shared" si="14"/>
        <v>0.5</v>
      </c>
      <c r="F158" s="89">
        <f>G120</f>
        <v>0.5</v>
      </c>
      <c r="G158" s="59">
        <f t="shared" si="16"/>
        <v>0.4</v>
      </c>
      <c r="H158" s="59">
        <f t="shared" si="17"/>
        <v>1</v>
      </c>
      <c r="I158" s="89">
        <f>G138</f>
        <v>0.33333333333333331</v>
      </c>
      <c r="J158" s="88">
        <f t="shared" si="19"/>
        <v>0.33333333333333331</v>
      </c>
      <c r="K158" s="88"/>
      <c r="L158" s="86">
        <f t="shared" si="11"/>
        <v>0.5</v>
      </c>
      <c r="M158" s="86"/>
      <c r="R158" t="s">
        <v>419</v>
      </c>
      <c r="S158">
        <v>1</v>
      </c>
      <c r="T158">
        <v>0.6</v>
      </c>
      <c r="U158">
        <v>0.6</v>
      </c>
      <c r="V158">
        <v>0.5</v>
      </c>
      <c r="W158">
        <v>1</v>
      </c>
      <c r="X158">
        <v>0.4</v>
      </c>
      <c r="Y158">
        <v>1</v>
      </c>
      <c r="Z158">
        <v>0.66666666666666663</v>
      </c>
      <c r="AA158">
        <v>0.33333333333333331</v>
      </c>
    </row>
    <row r="159" spans="1:27" x14ac:dyDescent="0.35">
      <c r="A159" s="9" t="s">
        <v>420</v>
      </c>
      <c r="B159" s="59">
        <f t="shared" si="12"/>
        <v>1</v>
      </c>
      <c r="C159" s="59">
        <f t="shared" si="13"/>
        <v>0.4</v>
      </c>
      <c r="D159" s="59">
        <f t="shared" si="10"/>
        <v>0.8</v>
      </c>
      <c r="E159" s="59">
        <f t="shared" si="14"/>
        <v>0.5</v>
      </c>
      <c r="F159" s="59">
        <f t="shared" si="15"/>
        <v>1</v>
      </c>
      <c r="G159" s="59">
        <f t="shared" si="16"/>
        <v>0.4</v>
      </c>
      <c r="H159" s="59">
        <f t="shared" si="17"/>
        <v>1</v>
      </c>
      <c r="I159" s="59">
        <f t="shared" si="18"/>
        <v>0.66666666666666663</v>
      </c>
      <c r="J159" s="88">
        <f t="shared" si="19"/>
        <v>0.33333333333333331</v>
      </c>
      <c r="K159" s="88"/>
      <c r="L159" s="86">
        <f t="shared" si="11"/>
        <v>0.5</v>
      </c>
      <c r="M159" s="86"/>
      <c r="R159" t="s">
        <v>420</v>
      </c>
      <c r="S159">
        <v>1</v>
      </c>
      <c r="T159">
        <v>0.4</v>
      </c>
      <c r="U159">
        <v>0.8</v>
      </c>
      <c r="V159">
        <v>0.5</v>
      </c>
      <c r="W159">
        <v>1</v>
      </c>
      <c r="X159">
        <v>0.4</v>
      </c>
      <c r="Y159">
        <v>1</v>
      </c>
      <c r="Z159">
        <v>0.66666666666666663</v>
      </c>
      <c r="AA159">
        <v>0.66666666666666663</v>
      </c>
    </row>
    <row r="160" spans="1:27" x14ac:dyDescent="0.35">
      <c r="A160" s="9" t="s">
        <v>421</v>
      </c>
      <c r="B160" s="59">
        <f t="shared" si="12"/>
        <v>1</v>
      </c>
      <c r="C160" s="59">
        <f t="shared" si="13"/>
        <v>0.6</v>
      </c>
      <c r="D160" s="59">
        <f t="shared" si="10"/>
        <v>0.6</v>
      </c>
      <c r="E160" s="59">
        <f>B122</f>
        <v>0.5</v>
      </c>
      <c r="F160" s="59">
        <f>G122</f>
        <v>0.5</v>
      </c>
      <c r="G160" s="59">
        <f t="shared" si="16"/>
        <v>0.4</v>
      </c>
      <c r="H160" s="59">
        <f t="shared" si="17"/>
        <v>1</v>
      </c>
      <c r="I160" s="59">
        <f t="shared" si="18"/>
        <v>1</v>
      </c>
      <c r="J160" s="88">
        <f t="shared" si="19"/>
        <v>0.66666666666666663</v>
      </c>
      <c r="K160" s="88"/>
      <c r="L160" s="86">
        <f t="shared" si="11"/>
        <v>1</v>
      </c>
      <c r="M160" s="86"/>
      <c r="R160" t="s">
        <v>421</v>
      </c>
      <c r="S160">
        <v>1</v>
      </c>
      <c r="T160">
        <v>0.6</v>
      </c>
      <c r="U160">
        <v>0.6</v>
      </c>
      <c r="V160">
        <v>0.5</v>
      </c>
      <c r="W160">
        <v>0.5</v>
      </c>
      <c r="X160">
        <v>0.4</v>
      </c>
      <c r="Y160">
        <v>1</v>
      </c>
      <c r="Z160">
        <v>1</v>
      </c>
      <c r="AA160">
        <v>1</v>
      </c>
    </row>
    <row r="161" spans="1:30" x14ac:dyDescent="0.35">
      <c r="A161" s="9" t="s">
        <v>422</v>
      </c>
      <c r="B161" s="59">
        <f t="shared" si="12"/>
        <v>1</v>
      </c>
      <c r="C161" s="59">
        <f t="shared" si="13"/>
        <v>0.6</v>
      </c>
      <c r="D161" s="59">
        <f t="shared" si="10"/>
        <v>0.6</v>
      </c>
      <c r="E161" s="59">
        <f t="shared" si="14"/>
        <v>0.5</v>
      </c>
      <c r="F161" s="59">
        <f t="shared" si="15"/>
        <v>1</v>
      </c>
      <c r="G161" s="59">
        <f t="shared" si="16"/>
        <v>0.4</v>
      </c>
      <c r="H161" s="59">
        <f t="shared" si="17"/>
        <v>1</v>
      </c>
      <c r="I161" s="59">
        <f t="shared" si="18"/>
        <v>0.66666666666666663</v>
      </c>
      <c r="J161" s="88">
        <f t="shared" si="19"/>
        <v>0.66666666666666663</v>
      </c>
      <c r="K161" s="88"/>
      <c r="L161" s="86">
        <f t="shared" si="11"/>
        <v>1</v>
      </c>
      <c r="M161" s="86"/>
      <c r="R161" t="s">
        <v>422</v>
      </c>
      <c r="S161">
        <v>1</v>
      </c>
      <c r="T161">
        <v>0.6</v>
      </c>
      <c r="U161">
        <v>0.6</v>
      </c>
      <c r="V161">
        <v>0.5</v>
      </c>
      <c r="W161">
        <v>1</v>
      </c>
      <c r="X161">
        <v>0.4</v>
      </c>
      <c r="Y161">
        <v>1</v>
      </c>
      <c r="Z161">
        <v>0.66666666666666663</v>
      </c>
      <c r="AA161">
        <v>1</v>
      </c>
    </row>
    <row r="164" spans="1:30" x14ac:dyDescent="0.35">
      <c r="A164" s="9" t="s">
        <v>462</v>
      </c>
      <c r="J164" t="s">
        <v>493</v>
      </c>
      <c r="K164" t="s">
        <v>492</v>
      </c>
      <c r="R164" s="18" t="s">
        <v>462</v>
      </c>
    </row>
    <row r="165" spans="1:30" x14ac:dyDescent="0.35">
      <c r="A165" s="9"/>
      <c r="B165" s="9" t="s">
        <v>476</v>
      </c>
      <c r="C165" s="9" t="s">
        <v>477</v>
      </c>
      <c r="D165" s="9" t="s">
        <v>478</v>
      </c>
      <c r="E165" s="9" t="s">
        <v>479</v>
      </c>
      <c r="F165" s="9" t="s">
        <v>480</v>
      </c>
      <c r="G165" s="9" t="s">
        <v>481</v>
      </c>
      <c r="H165" s="9" t="s">
        <v>482</v>
      </c>
      <c r="I165" s="9" t="s">
        <v>483</v>
      </c>
      <c r="J165" s="66" t="s">
        <v>484</v>
      </c>
      <c r="K165" s="87" t="s">
        <v>484</v>
      </c>
      <c r="L165" s="12"/>
      <c r="M165" s="12"/>
      <c r="N165" s="9"/>
      <c r="O165" s="12"/>
      <c r="P165" s="12"/>
      <c r="R165" s="9"/>
      <c r="S165" s="9" t="s">
        <v>464</v>
      </c>
      <c r="T165" s="9" t="s">
        <v>463</v>
      </c>
      <c r="U165" s="9" t="s">
        <v>465</v>
      </c>
      <c r="V165" s="9" t="s">
        <v>466</v>
      </c>
      <c r="W165" s="9" t="s">
        <v>467</v>
      </c>
      <c r="X165" s="9" t="s">
        <v>468</v>
      </c>
      <c r="Y165" s="9" t="s">
        <v>469</v>
      </c>
      <c r="Z165" s="9" t="s">
        <v>470</v>
      </c>
      <c r="AA165" s="9" t="s">
        <v>471</v>
      </c>
      <c r="AB165" s="9"/>
      <c r="AC165" s="9"/>
      <c r="AD165" s="9"/>
    </row>
    <row r="166" spans="1:30" x14ac:dyDescent="0.35">
      <c r="A166" s="9" t="s">
        <v>136</v>
      </c>
      <c r="B166" s="9" t="s">
        <v>17</v>
      </c>
      <c r="C166" s="9" t="s">
        <v>18</v>
      </c>
      <c r="D166" s="9" t="s">
        <v>19</v>
      </c>
      <c r="E166" s="9" t="s">
        <v>20</v>
      </c>
      <c r="F166" s="9" t="s">
        <v>21</v>
      </c>
      <c r="G166" s="9" t="s">
        <v>22</v>
      </c>
      <c r="H166" s="9" t="s">
        <v>23</v>
      </c>
      <c r="I166" s="9" t="s">
        <v>24</v>
      </c>
      <c r="J166" s="66" t="s">
        <v>25</v>
      </c>
      <c r="K166" s="87" t="s">
        <v>25</v>
      </c>
      <c r="L166" s="9" t="s">
        <v>147</v>
      </c>
      <c r="M166" s="9" t="s">
        <v>224</v>
      </c>
      <c r="N166" s="9"/>
      <c r="R166" s="60" t="s">
        <v>136</v>
      </c>
      <c r="S166" s="61" t="s">
        <v>17</v>
      </c>
      <c r="T166" s="61" t="s">
        <v>18</v>
      </c>
      <c r="U166" s="61" t="s">
        <v>19</v>
      </c>
      <c r="V166" s="61" t="s">
        <v>20</v>
      </c>
      <c r="W166" s="61" t="s">
        <v>21</v>
      </c>
      <c r="X166" s="61" t="s">
        <v>22</v>
      </c>
      <c r="Y166" s="61" t="s">
        <v>23</v>
      </c>
      <c r="Z166" s="61" t="s">
        <v>24</v>
      </c>
      <c r="AA166" s="61" t="s">
        <v>25</v>
      </c>
      <c r="AB166" s="61" t="s">
        <v>147</v>
      </c>
      <c r="AC166" s="61" t="s">
        <v>224</v>
      </c>
      <c r="AD166" s="9"/>
    </row>
    <row r="167" spans="1:30" x14ac:dyDescent="0.35">
      <c r="A167" s="9" t="s">
        <v>125</v>
      </c>
      <c r="B167" s="9">
        <f>B146*E18</f>
        <v>0.31430000000000002</v>
      </c>
      <c r="C167" s="62">
        <f>C146*E19</f>
        <v>0.16256000000000001</v>
      </c>
      <c r="D167" s="62">
        <f>D146*E20</f>
        <v>8.861999999999999E-2</v>
      </c>
      <c r="E167" s="9">
        <f>E146*E21</f>
        <v>5.5300000000000002E-2</v>
      </c>
      <c r="F167" s="9">
        <f>F146*E22</f>
        <v>8.2799999999999999E-2</v>
      </c>
      <c r="G167" s="9">
        <f>G146*E23</f>
        <v>6.0600000000000001E-2</v>
      </c>
      <c r="H167" s="62">
        <f>H146*E24</f>
        <v>2.1049999999999999E-2</v>
      </c>
      <c r="I167" s="62">
        <f>I146*E25</f>
        <v>1.7466666666666665E-2</v>
      </c>
      <c r="J167" s="85">
        <f>L146*E26</f>
        <v>1.23E-2</v>
      </c>
      <c r="K167" s="87">
        <f>J146*E26</f>
        <v>8.199999999999999E-3</v>
      </c>
      <c r="L167" s="70">
        <f>SUM(B167:J167)</f>
        <v>0.8149966666666667</v>
      </c>
      <c r="M167" s="9">
        <f t="shared" ref="M167:M182" si="20">_xlfn.RANK.EQ(L167,$L$167:$L$182,0)</f>
        <v>1</v>
      </c>
      <c r="N167" s="9"/>
      <c r="R167" s="9" t="s">
        <v>125</v>
      </c>
      <c r="S167" s="62">
        <f>B146*D18</f>
        <v>0.314</v>
      </c>
      <c r="T167" s="62">
        <f>C146*D19</f>
        <v>0.16240000000000002</v>
      </c>
      <c r="U167" s="62">
        <f>D146*D20</f>
        <v>8.879999999999999E-2</v>
      </c>
      <c r="V167" s="62">
        <f>E146*D21</f>
        <v>5.5500000000000001E-2</v>
      </c>
      <c r="W167" s="62">
        <f>F146*D22</f>
        <v>8.3000000000000004E-2</v>
      </c>
      <c r="X167" s="62">
        <f>G146*D23</f>
        <v>6.0999999999999999E-2</v>
      </c>
      <c r="Y167" s="62">
        <f>H146*D24</f>
        <v>2.1000000000000001E-2</v>
      </c>
      <c r="Z167" s="62">
        <f>I146*D25</f>
        <v>1.7333333333333333E-2</v>
      </c>
      <c r="AA167" s="62">
        <f>J146*D26</f>
        <v>8.0000000000000002E-3</v>
      </c>
      <c r="AB167" s="62">
        <f t="shared" ref="AB167:AB181" si="21">SUM(S167:AA167)</f>
        <v>0.81103333333333327</v>
      </c>
      <c r="AC167" s="21">
        <f>_xlfn.RANK.EQ(AB167,$AB$167:$AB$182,0)</f>
        <v>1</v>
      </c>
      <c r="AD167" s="9" t="s">
        <v>472</v>
      </c>
    </row>
    <row r="168" spans="1:30" x14ac:dyDescent="0.35">
      <c r="A168" s="9" t="s">
        <v>126</v>
      </c>
      <c r="B168" s="62">
        <f>B147*E18</f>
        <v>0.15715000000000001</v>
      </c>
      <c r="C168" s="9">
        <f>C147*E19</f>
        <v>0.20319999999999999</v>
      </c>
      <c r="D168" s="62">
        <f>D147*E20</f>
        <v>8.861999999999999E-2</v>
      </c>
      <c r="E168" s="9">
        <f>E147*E21</f>
        <v>5.5300000000000002E-2</v>
      </c>
      <c r="F168" s="9">
        <f>F147*E22</f>
        <v>8.2799999999999999E-2</v>
      </c>
      <c r="G168" s="62">
        <f>G147*E23</f>
        <v>2.4240000000000001E-2</v>
      </c>
      <c r="H168" s="62">
        <f>H147*E24</f>
        <v>2.1049999999999999E-2</v>
      </c>
      <c r="I168" s="62">
        <f>I147*E25</f>
        <v>1.7466666666666665E-2</v>
      </c>
      <c r="J168" s="85">
        <f>L147*E26</f>
        <v>1.23E-2</v>
      </c>
      <c r="K168" s="87">
        <f>J147*E26</f>
        <v>8.199999999999999E-3</v>
      </c>
      <c r="L168" s="70">
        <f t="shared" ref="L168:L182" si="22">SUM(B168:J168)</f>
        <v>0.66212666666666664</v>
      </c>
      <c r="M168" s="9">
        <f t="shared" si="20"/>
        <v>12</v>
      </c>
      <c r="N168" s="9"/>
      <c r="R168" s="9" t="s">
        <v>126</v>
      </c>
      <c r="S168" s="62">
        <f>B147*D18</f>
        <v>0.157</v>
      </c>
      <c r="T168" s="62">
        <f>C147*D19</f>
        <v>0.20300000000000001</v>
      </c>
      <c r="U168" s="62">
        <f>D147*D20</f>
        <v>8.879999999999999E-2</v>
      </c>
      <c r="V168" s="62">
        <f>E147*D21</f>
        <v>5.5500000000000001E-2</v>
      </c>
      <c r="W168" s="62">
        <f>F147*D22</f>
        <v>8.3000000000000004E-2</v>
      </c>
      <c r="X168" s="62">
        <f>G147*D23</f>
        <v>2.4400000000000002E-2</v>
      </c>
      <c r="Y168" s="62">
        <f>H147*D24</f>
        <v>2.1000000000000001E-2</v>
      </c>
      <c r="Z168" s="62">
        <f>I147*D25</f>
        <v>1.7333333333333333E-2</v>
      </c>
      <c r="AA168" s="62">
        <f>J147*D26</f>
        <v>8.0000000000000002E-3</v>
      </c>
      <c r="AB168" s="62">
        <f t="shared" si="21"/>
        <v>0.65803333333333325</v>
      </c>
      <c r="AC168" s="21">
        <f t="shared" ref="AC168:AC182" si="23">_xlfn.RANK.EQ(AB168,$AB$167:$AB$182,0)</f>
        <v>12</v>
      </c>
      <c r="AD168" s="9" t="s">
        <v>472</v>
      </c>
    </row>
    <row r="169" spans="1:30" x14ac:dyDescent="0.35">
      <c r="A169" s="9" t="s">
        <v>127</v>
      </c>
      <c r="B169" s="62">
        <f>B148*E18</f>
        <v>0.10476666666666667</v>
      </c>
      <c r="C169" s="9">
        <f>C148*E19</f>
        <v>0.20319999999999999</v>
      </c>
      <c r="D169" s="9">
        <f>D148*E20</f>
        <v>0.1477</v>
      </c>
      <c r="E169" s="9">
        <f>E148*E21</f>
        <v>5.5300000000000002E-2</v>
      </c>
      <c r="F169" s="9">
        <f>F148*E22</f>
        <v>8.2799999999999999E-2</v>
      </c>
      <c r="G169" s="9">
        <f>G148*E23</f>
        <v>6.0600000000000001E-2</v>
      </c>
      <c r="H169" s="9">
        <f>H148*E24</f>
        <v>4.2099999999999999E-2</v>
      </c>
      <c r="I169" s="62">
        <f>I148*E25</f>
        <v>1.7466666666666665E-2</v>
      </c>
      <c r="J169" s="85">
        <f>L148*E26</f>
        <v>1.23E-2</v>
      </c>
      <c r="K169" s="87">
        <f>J148*E26</f>
        <v>8.199999999999999E-3</v>
      </c>
      <c r="L169" s="70">
        <f t="shared" si="22"/>
        <v>0.72623333333333329</v>
      </c>
      <c r="M169" s="9">
        <f t="shared" si="20"/>
        <v>10</v>
      </c>
      <c r="N169" s="17"/>
      <c r="R169" s="66" t="s">
        <v>127</v>
      </c>
      <c r="S169" s="68">
        <f>B148*D18</f>
        <v>0.10466666666666666</v>
      </c>
      <c r="T169" s="68">
        <f>C148*D19</f>
        <v>0.20300000000000001</v>
      </c>
      <c r="U169" s="68">
        <f>D148*D20</f>
        <v>0.14799999999999999</v>
      </c>
      <c r="V169" s="68">
        <f>E148*D21</f>
        <v>5.5500000000000001E-2</v>
      </c>
      <c r="W169" s="68">
        <f>F148*D22</f>
        <v>8.3000000000000004E-2</v>
      </c>
      <c r="X169" s="68">
        <f>G148*D23</f>
        <v>6.0999999999999999E-2</v>
      </c>
      <c r="Y169" s="68">
        <f>H148*D24</f>
        <v>4.2000000000000003E-2</v>
      </c>
      <c r="Z169" s="68">
        <f>I148*D25</f>
        <v>1.7333333333333333E-2</v>
      </c>
      <c r="AA169" s="68">
        <f>J148*D26</f>
        <v>8.0000000000000002E-3</v>
      </c>
      <c r="AB169" s="68">
        <f t="shared" si="21"/>
        <v>0.72250000000000003</v>
      </c>
      <c r="AC169" s="67">
        <f t="shared" si="23"/>
        <v>9</v>
      </c>
      <c r="AD169" s="66"/>
    </row>
    <row r="170" spans="1:30" x14ac:dyDescent="0.35">
      <c r="A170" s="9" t="s">
        <v>174</v>
      </c>
      <c r="B170" s="9">
        <f>B149*E18</f>
        <v>0.31430000000000002</v>
      </c>
      <c r="C170" s="62">
        <f>C149*E19</f>
        <v>8.1280000000000005E-2</v>
      </c>
      <c r="D170" s="9">
        <f>D149*E20</f>
        <v>0.1477</v>
      </c>
      <c r="E170" s="9">
        <f>E149*E21</f>
        <v>5.5300000000000002E-2</v>
      </c>
      <c r="F170" s="9">
        <f>F149*E22</f>
        <v>8.2799999999999999E-2</v>
      </c>
      <c r="G170" s="62">
        <f>G149*E23</f>
        <v>2.4240000000000001E-2</v>
      </c>
      <c r="H170" s="9">
        <f>H149*E24</f>
        <v>4.2099999999999999E-2</v>
      </c>
      <c r="I170" s="62">
        <f>I149*E25</f>
        <v>8.7333333333333325E-3</v>
      </c>
      <c r="J170" s="85">
        <f>L149*E26</f>
        <v>1.23E-2</v>
      </c>
      <c r="K170" s="87">
        <f>J149*E26</f>
        <v>8.199999999999999E-3</v>
      </c>
      <c r="L170" s="70">
        <f t="shared" si="22"/>
        <v>0.7687533333333334</v>
      </c>
      <c r="M170" s="9">
        <f t="shared" si="20"/>
        <v>4</v>
      </c>
      <c r="N170" s="9"/>
      <c r="R170" s="9" t="s">
        <v>174</v>
      </c>
      <c r="S170" s="62">
        <f>B149*D18</f>
        <v>0.314</v>
      </c>
      <c r="T170" s="62">
        <f>C149*D19</f>
        <v>8.1200000000000008E-2</v>
      </c>
      <c r="U170" s="62">
        <f>D149*D20</f>
        <v>0.14799999999999999</v>
      </c>
      <c r="V170" s="62">
        <f>E149*D21</f>
        <v>5.5500000000000001E-2</v>
      </c>
      <c r="W170" s="62">
        <f>F149*D22</f>
        <v>8.3000000000000004E-2</v>
      </c>
      <c r="X170" s="62">
        <f>G149*D23</f>
        <v>2.4400000000000002E-2</v>
      </c>
      <c r="Y170" s="62">
        <f>H149*D24</f>
        <v>4.2000000000000003E-2</v>
      </c>
      <c r="Z170" s="62">
        <f>I149*D25</f>
        <v>8.6666666666666663E-3</v>
      </c>
      <c r="AA170" s="62">
        <f>J149*D26</f>
        <v>8.0000000000000002E-3</v>
      </c>
      <c r="AB170" s="62">
        <f t="shared" si="21"/>
        <v>0.76476666666666671</v>
      </c>
      <c r="AC170" s="21">
        <f t="shared" si="23"/>
        <v>4</v>
      </c>
      <c r="AD170" s="9" t="s">
        <v>472</v>
      </c>
    </row>
    <row r="171" spans="1:30" x14ac:dyDescent="0.35">
      <c r="A171" s="9" t="s">
        <v>180</v>
      </c>
      <c r="B171" s="62">
        <f>B150*E18</f>
        <v>0.10476666666666667</v>
      </c>
      <c r="C171" s="93">
        <f>C150*E19</f>
        <v>0.16256000000000001</v>
      </c>
      <c r="D171" s="62">
        <f>D150*E20</f>
        <v>8.861999999999999E-2</v>
      </c>
      <c r="E171" s="9">
        <f>E150*E21</f>
        <v>5.5300000000000002E-2</v>
      </c>
      <c r="F171" s="9">
        <f>F150*E22</f>
        <v>8.2799999999999999E-2</v>
      </c>
      <c r="G171" s="62">
        <f>G150*E23</f>
        <v>2.4240000000000001E-2</v>
      </c>
      <c r="H171" s="62">
        <f>H150*E24</f>
        <v>2.1049999999999999E-2</v>
      </c>
      <c r="I171" s="62">
        <f>I150*E25</f>
        <v>1.7466666666666665E-2</v>
      </c>
      <c r="J171" s="85">
        <f>L150*E26</f>
        <v>1.23E-2</v>
      </c>
      <c r="K171" s="87">
        <f>J150*E26</f>
        <v>8.199999999999999E-3</v>
      </c>
      <c r="L171" s="93">
        <f t="shared" si="22"/>
        <v>0.56910333333333329</v>
      </c>
      <c r="M171" s="9">
        <f t="shared" si="20"/>
        <v>16</v>
      </c>
      <c r="N171" s="9"/>
      <c r="R171" s="9" t="s">
        <v>180</v>
      </c>
      <c r="S171" s="62">
        <f>B150*D18</f>
        <v>0.10466666666666666</v>
      </c>
      <c r="T171" s="62">
        <f>C150*D19</f>
        <v>0.16240000000000002</v>
      </c>
      <c r="U171" s="62">
        <f>D150*D20</f>
        <v>8.879999999999999E-2</v>
      </c>
      <c r="V171" s="62">
        <f>E150*D21</f>
        <v>5.5500000000000001E-2</v>
      </c>
      <c r="W171" s="62">
        <f>F150*D22</f>
        <v>8.3000000000000004E-2</v>
      </c>
      <c r="X171" s="62">
        <f>G150*D23</f>
        <v>2.4400000000000002E-2</v>
      </c>
      <c r="Y171" s="62">
        <f>H150*D24</f>
        <v>2.1000000000000001E-2</v>
      </c>
      <c r="Z171" s="62">
        <f>I150*D25</f>
        <v>1.7333333333333333E-2</v>
      </c>
      <c r="AA171" s="62">
        <f>J150*D26</f>
        <v>8.0000000000000002E-3</v>
      </c>
      <c r="AB171" s="62">
        <f t="shared" si="21"/>
        <v>0.56510000000000005</v>
      </c>
      <c r="AC171" s="21">
        <f t="shared" si="23"/>
        <v>16</v>
      </c>
      <c r="AD171" s="9" t="s">
        <v>472</v>
      </c>
    </row>
    <row r="172" spans="1:30" x14ac:dyDescent="0.35">
      <c r="A172" s="9" t="s">
        <v>185</v>
      </c>
      <c r="B172" s="62">
        <f>B151*E18</f>
        <v>0.10476666666666667</v>
      </c>
      <c r="C172" s="62">
        <f>C151*E19</f>
        <v>0.16256000000000001</v>
      </c>
      <c r="D172" s="62">
        <f>D151*E20</f>
        <v>8.861999999999999E-2</v>
      </c>
      <c r="E172" s="9">
        <f>E150*E21</f>
        <v>5.5300000000000002E-2</v>
      </c>
      <c r="F172" s="9">
        <f>F151*E22</f>
        <v>8.2799999999999999E-2</v>
      </c>
      <c r="G172" s="62">
        <f>G151*E23</f>
        <v>2.4240000000000001E-2</v>
      </c>
      <c r="H172" s="9">
        <f>H151*E24</f>
        <v>4.2099999999999999E-2</v>
      </c>
      <c r="I172" s="62">
        <f>I151*E25</f>
        <v>1.7466666666666665E-2</v>
      </c>
      <c r="J172" s="85">
        <f>L151*E26</f>
        <v>1.23E-2</v>
      </c>
      <c r="K172" s="87">
        <f>J151*E26</f>
        <v>8.199999999999999E-3</v>
      </c>
      <c r="L172" s="70">
        <f t="shared" si="22"/>
        <v>0.59015333333333331</v>
      </c>
      <c r="M172" s="9">
        <f t="shared" si="20"/>
        <v>14</v>
      </c>
      <c r="N172" s="9"/>
      <c r="R172" s="9" t="s">
        <v>185</v>
      </c>
      <c r="S172" s="62">
        <f>B151*D18</f>
        <v>0.10466666666666666</v>
      </c>
      <c r="T172" s="62">
        <f>C151*D19</f>
        <v>0.16240000000000002</v>
      </c>
      <c r="U172" s="62">
        <f>D151*D20</f>
        <v>8.879999999999999E-2</v>
      </c>
      <c r="V172" s="62">
        <f>E151*D21</f>
        <v>5.5500000000000001E-2</v>
      </c>
      <c r="W172" s="62">
        <f>F151*D22</f>
        <v>8.3000000000000004E-2</v>
      </c>
      <c r="X172" s="62">
        <f>G151*D23</f>
        <v>2.4400000000000002E-2</v>
      </c>
      <c r="Y172" s="62">
        <f>H151*D24</f>
        <v>4.2000000000000003E-2</v>
      </c>
      <c r="Z172" s="62">
        <f>I151*D25</f>
        <v>1.7333333333333333E-2</v>
      </c>
      <c r="AA172" s="62">
        <f>J151*D26</f>
        <v>8.0000000000000002E-3</v>
      </c>
      <c r="AB172" s="62">
        <f t="shared" si="21"/>
        <v>0.58610000000000007</v>
      </c>
      <c r="AC172" s="21">
        <f t="shared" si="23"/>
        <v>14</v>
      </c>
      <c r="AD172" s="9" t="s">
        <v>472</v>
      </c>
    </row>
    <row r="173" spans="1:30" x14ac:dyDescent="0.35">
      <c r="A173" s="9" t="s">
        <v>283</v>
      </c>
      <c r="B173" s="62">
        <f>B152*E18</f>
        <v>0.15715000000000001</v>
      </c>
      <c r="C173" s="62">
        <f>C152*E19</f>
        <v>0.12191999999999999</v>
      </c>
      <c r="D173" s="62">
        <f>D152*E20</f>
        <v>8.861999999999999E-2</v>
      </c>
      <c r="E173" s="9">
        <f>E152*E21</f>
        <v>5.5300000000000002E-2</v>
      </c>
      <c r="F173" s="9">
        <f>F152*E22</f>
        <v>8.2799999999999999E-2</v>
      </c>
      <c r="G173" s="62">
        <f>G152*E23</f>
        <v>2.4240000000000001E-2</v>
      </c>
      <c r="H173" s="9">
        <f>H152*E24</f>
        <v>4.2099999999999999E-2</v>
      </c>
      <c r="I173" s="62">
        <f>I152*E25</f>
        <v>1.7466666666666665E-2</v>
      </c>
      <c r="J173" s="92">
        <f>L152*E26</f>
        <v>6.1500000000000001E-3</v>
      </c>
      <c r="K173" s="87">
        <f>J152*E26</f>
        <v>4.0999999999999995E-3</v>
      </c>
      <c r="L173" s="70">
        <f t="shared" si="22"/>
        <v>0.59574666666666665</v>
      </c>
      <c r="M173" s="9">
        <f t="shared" si="20"/>
        <v>13</v>
      </c>
      <c r="N173" s="17"/>
      <c r="R173" s="9" t="s">
        <v>283</v>
      </c>
      <c r="S173" s="62">
        <f>B152*D18</f>
        <v>0.157</v>
      </c>
      <c r="T173" s="62">
        <f>C152*D19</f>
        <v>0.12180000000000001</v>
      </c>
      <c r="U173" s="62">
        <f>D152*D20</f>
        <v>8.879999999999999E-2</v>
      </c>
      <c r="V173" s="62">
        <f>E152*D21</f>
        <v>5.5500000000000001E-2</v>
      </c>
      <c r="W173" s="62">
        <f>F152*D22</f>
        <v>8.3000000000000004E-2</v>
      </c>
      <c r="X173" s="62">
        <f>G152*D23</f>
        <v>2.4400000000000002E-2</v>
      </c>
      <c r="Y173" s="62">
        <f>H152*D24</f>
        <v>4.2000000000000003E-2</v>
      </c>
      <c r="Z173" s="62">
        <f>I152*D25</f>
        <v>1.7333333333333333E-2</v>
      </c>
      <c r="AA173" s="62">
        <f>J152*D26</f>
        <v>4.0000000000000001E-3</v>
      </c>
      <c r="AB173" s="62">
        <f t="shared" si="21"/>
        <v>0.59383333333333332</v>
      </c>
      <c r="AC173" s="21">
        <f t="shared" si="23"/>
        <v>13</v>
      </c>
      <c r="AD173" s="9" t="s">
        <v>472</v>
      </c>
    </row>
    <row r="174" spans="1:30" x14ac:dyDescent="0.35">
      <c r="A174" s="9" t="s">
        <v>286</v>
      </c>
      <c r="B174" s="17">
        <f>B153*E18</f>
        <v>0.31430000000000002</v>
      </c>
      <c r="C174" s="70">
        <f>C153*E19</f>
        <v>4.0640000000000003E-2</v>
      </c>
      <c r="D174" s="17">
        <f>D153*E20</f>
        <v>0.1477</v>
      </c>
      <c r="E174" s="17">
        <f>E153*E21</f>
        <v>0.1106</v>
      </c>
      <c r="F174" s="17">
        <f>F153*E22</f>
        <v>8.2799999999999999E-2</v>
      </c>
      <c r="G174" s="70">
        <f>G154*E23</f>
        <v>2.4240000000000001E-2</v>
      </c>
      <c r="H174" s="70">
        <f>H154*E24</f>
        <v>2.1049999999999999E-2</v>
      </c>
      <c r="I174" s="70">
        <f>I154*E25</f>
        <v>1.7466666666666665E-2</v>
      </c>
      <c r="J174" s="92">
        <f>L153*E26</f>
        <v>6.1500000000000001E-3</v>
      </c>
      <c r="K174" s="87">
        <f>J154*E26</f>
        <v>4.0999999999999995E-3</v>
      </c>
      <c r="L174" s="70">
        <f t="shared" si="22"/>
        <v>0.76494666666666666</v>
      </c>
      <c r="M174" s="9">
        <f t="shared" si="20"/>
        <v>5</v>
      </c>
      <c r="N174" s="17"/>
      <c r="R174" s="63" t="s">
        <v>286</v>
      </c>
      <c r="S174" s="64">
        <f>B153*D18</f>
        <v>0.314</v>
      </c>
      <c r="T174" s="64">
        <f>C153*D19</f>
        <v>4.0600000000000004E-2</v>
      </c>
      <c r="U174" s="64">
        <f>D153*D20</f>
        <v>0.14799999999999999</v>
      </c>
      <c r="V174" s="64">
        <f>E153*D21</f>
        <v>0.111</v>
      </c>
      <c r="W174" s="64">
        <f>F153*D22</f>
        <v>8.3000000000000004E-2</v>
      </c>
      <c r="X174" s="64">
        <f>G153*D23</f>
        <v>2.4400000000000002E-2</v>
      </c>
      <c r="Y174" s="64">
        <f>H153*D24</f>
        <v>2.1000000000000001E-2</v>
      </c>
      <c r="Z174" s="64">
        <f>I153*D25</f>
        <v>1.7333333333333333E-2</v>
      </c>
      <c r="AA174" s="64">
        <f>J153*D26</f>
        <v>4.0000000000000001E-3</v>
      </c>
      <c r="AB174" s="64">
        <f t="shared" si="21"/>
        <v>0.76333333333333331</v>
      </c>
      <c r="AC174" s="65">
        <f t="shared" si="23"/>
        <v>5</v>
      </c>
      <c r="AD174" s="63"/>
    </row>
    <row r="175" spans="1:30" x14ac:dyDescent="0.35">
      <c r="A175" s="9" t="s">
        <v>287</v>
      </c>
      <c r="B175" s="62">
        <f>B154*E18</f>
        <v>0.15715000000000001</v>
      </c>
      <c r="C175" s="62">
        <f>C154*E19</f>
        <v>0.12191999999999999</v>
      </c>
      <c r="D175" s="62">
        <f>D154*E20</f>
        <v>8.861999999999999E-2</v>
      </c>
      <c r="E175" s="9">
        <f>E154*E21</f>
        <v>5.5300000000000002E-2</v>
      </c>
      <c r="F175" s="9">
        <f>F154*E22</f>
        <v>8.2799999999999999E-2</v>
      </c>
      <c r="G175" s="62">
        <f>G154*E23</f>
        <v>2.4240000000000001E-2</v>
      </c>
      <c r="H175" s="62">
        <f>H154*E24</f>
        <v>2.1049999999999999E-2</v>
      </c>
      <c r="I175" s="62">
        <f>I154*E25</f>
        <v>1.7466666666666665E-2</v>
      </c>
      <c r="J175" s="92">
        <f>L154*E26</f>
        <v>6.1500000000000001E-3</v>
      </c>
      <c r="K175" s="87">
        <f>J154*E26</f>
        <v>4.0999999999999995E-3</v>
      </c>
      <c r="L175" s="70">
        <f t="shared" si="22"/>
        <v>0.57469666666666663</v>
      </c>
      <c r="M175" s="9">
        <f t="shared" si="20"/>
        <v>15</v>
      </c>
      <c r="N175" s="9"/>
      <c r="R175" s="9" t="s">
        <v>287</v>
      </c>
      <c r="S175" s="62">
        <f>B154*D18</f>
        <v>0.157</v>
      </c>
      <c r="T175" s="62">
        <f>C154*D19</f>
        <v>0.12180000000000001</v>
      </c>
      <c r="U175" s="62">
        <f>D154*D20</f>
        <v>8.879999999999999E-2</v>
      </c>
      <c r="V175" s="62">
        <f>E154*D21</f>
        <v>5.5500000000000001E-2</v>
      </c>
      <c r="W175" s="62">
        <f>F154*D22</f>
        <v>8.3000000000000004E-2</v>
      </c>
      <c r="X175" s="62">
        <f>G154*D23</f>
        <v>2.4400000000000002E-2</v>
      </c>
      <c r="Y175" s="62">
        <f>H154*D24</f>
        <v>2.1000000000000001E-2</v>
      </c>
      <c r="Z175" s="62">
        <f>I154*D25</f>
        <v>1.7333333333333333E-2</v>
      </c>
      <c r="AA175" s="62">
        <f>J154*D26</f>
        <v>4.0000000000000001E-3</v>
      </c>
      <c r="AB175" s="62">
        <f t="shared" si="21"/>
        <v>0.57283333333333331</v>
      </c>
      <c r="AC175" s="21">
        <f t="shared" si="23"/>
        <v>15</v>
      </c>
      <c r="AD175" s="9" t="s">
        <v>472</v>
      </c>
    </row>
    <row r="176" spans="1:30" x14ac:dyDescent="0.35">
      <c r="A176" s="9" t="s">
        <v>288</v>
      </c>
      <c r="B176" s="9">
        <f>B155*E18</f>
        <v>0.31430000000000002</v>
      </c>
      <c r="C176" s="62">
        <f>C155*E19</f>
        <v>8.1280000000000005E-2</v>
      </c>
      <c r="D176" s="62">
        <f>D155*E20</f>
        <v>8.861999999999999E-2</v>
      </c>
      <c r="E176" s="9">
        <f>E155*E21</f>
        <v>5.5300000000000002E-2</v>
      </c>
      <c r="F176" s="9">
        <f>F156*E22</f>
        <v>8.2799999999999999E-2</v>
      </c>
      <c r="G176" s="70">
        <f>G155*E23</f>
        <v>2.4240000000000001E-2</v>
      </c>
      <c r="H176" s="62">
        <f>H156*E24</f>
        <v>2.1049999999999999E-2</v>
      </c>
      <c r="I176" s="62">
        <f>I156*E25</f>
        <v>1.7466666666666665E-2</v>
      </c>
      <c r="J176" s="92">
        <f>L155*E26</f>
        <v>6.1500000000000001E-3</v>
      </c>
      <c r="K176" s="91">
        <f>J155*E26</f>
        <v>4.0999999999999995E-3</v>
      </c>
      <c r="L176" s="70">
        <f t="shared" si="22"/>
        <v>0.69120666666666664</v>
      </c>
      <c r="M176" s="9">
        <f t="shared" si="20"/>
        <v>11</v>
      </c>
      <c r="N176" s="9"/>
      <c r="R176" s="9" t="s">
        <v>288</v>
      </c>
      <c r="S176" s="62">
        <f>B155*D18</f>
        <v>0.314</v>
      </c>
      <c r="T176" s="62">
        <f>C155*D19</f>
        <v>8.1200000000000008E-2</v>
      </c>
      <c r="U176" s="62">
        <f>D155*D20</f>
        <v>8.879999999999999E-2</v>
      </c>
      <c r="V176" s="62">
        <f>E155*D21</f>
        <v>5.5500000000000001E-2</v>
      </c>
      <c r="W176" s="62">
        <f>F155*D22</f>
        <v>8.3000000000000004E-2</v>
      </c>
      <c r="X176" s="62">
        <f>G155*D23</f>
        <v>2.4400000000000002E-2</v>
      </c>
      <c r="Y176" s="62">
        <f>H155*D24</f>
        <v>2.1000000000000001E-2</v>
      </c>
      <c r="Z176" s="62">
        <f>I155*D25</f>
        <v>1.7333333333333333E-2</v>
      </c>
      <c r="AA176" s="62">
        <f>J155*D26</f>
        <v>4.0000000000000001E-3</v>
      </c>
      <c r="AB176" s="62">
        <f t="shared" si="21"/>
        <v>0.68923333333333325</v>
      </c>
      <c r="AC176" s="21">
        <f t="shared" si="23"/>
        <v>11</v>
      </c>
      <c r="AD176" s="9" t="s">
        <v>472</v>
      </c>
    </row>
    <row r="177" spans="1:30" x14ac:dyDescent="0.35">
      <c r="A177" s="9" t="s">
        <v>417</v>
      </c>
      <c r="B177" s="9">
        <f>B156*E18</f>
        <v>0.31430000000000002</v>
      </c>
      <c r="C177" s="62">
        <f>C156*E19</f>
        <v>0.12191999999999999</v>
      </c>
      <c r="D177" s="62">
        <f>D156*E20</f>
        <v>8.861999999999999E-2</v>
      </c>
      <c r="E177" s="9">
        <f>E156*E21</f>
        <v>5.5300000000000002E-2</v>
      </c>
      <c r="F177" s="9">
        <f>F156*E22</f>
        <v>8.2799999999999999E-2</v>
      </c>
      <c r="G177" s="17">
        <f>G156*E23</f>
        <v>6.0600000000000001E-2</v>
      </c>
      <c r="H177" s="62">
        <f>H156*E24</f>
        <v>2.1049999999999999E-2</v>
      </c>
      <c r="I177" s="62">
        <f>I156*E25</f>
        <v>1.7466666666666665E-2</v>
      </c>
      <c r="J177" s="85">
        <f>L156*E26</f>
        <v>1.23E-2</v>
      </c>
      <c r="K177" s="87">
        <f>J156*E26</f>
        <v>8.199999999999999E-3</v>
      </c>
      <c r="L177" s="70">
        <f t="shared" si="22"/>
        <v>0.77435666666666658</v>
      </c>
      <c r="M177" s="9">
        <f t="shared" si="20"/>
        <v>2</v>
      </c>
      <c r="N177" s="9"/>
      <c r="R177" s="9" t="s">
        <v>417</v>
      </c>
      <c r="S177" s="62">
        <f>B156*D18</f>
        <v>0.314</v>
      </c>
      <c r="T177" s="62">
        <f>C156*D19</f>
        <v>0.12180000000000001</v>
      </c>
      <c r="U177" s="62">
        <f>D156*D20</f>
        <v>8.879999999999999E-2</v>
      </c>
      <c r="V177" s="62">
        <f>E156*D21</f>
        <v>5.5500000000000001E-2</v>
      </c>
      <c r="W177" s="62">
        <f>F156*D22</f>
        <v>8.3000000000000004E-2</v>
      </c>
      <c r="X177" s="62">
        <f>G156*D23</f>
        <v>6.0999999999999999E-2</v>
      </c>
      <c r="Y177" s="62">
        <f>H156*D24</f>
        <v>2.1000000000000001E-2</v>
      </c>
      <c r="Z177" s="62">
        <f>I156*D25</f>
        <v>1.7333333333333333E-2</v>
      </c>
      <c r="AA177" s="62">
        <f>J156*D26</f>
        <v>8.0000000000000002E-3</v>
      </c>
      <c r="AB177" s="62">
        <f t="shared" si="21"/>
        <v>0.7704333333333333</v>
      </c>
      <c r="AC177" s="21">
        <f t="shared" si="23"/>
        <v>2</v>
      </c>
      <c r="AD177" s="9" t="s">
        <v>472</v>
      </c>
    </row>
    <row r="178" spans="1:30" x14ac:dyDescent="0.35">
      <c r="A178" s="9" t="s">
        <v>418</v>
      </c>
      <c r="B178" s="9">
        <f>B157*E18</f>
        <v>0.31430000000000002</v>
      </c>
      <c r="C178" s="62">
        <f>C157*E19</f>
        <v>0.12191999999999999</v>
      </c>
      <c r="D178" s="62">
        <f>D157*E20</f>
        <v>8.861999999999999E-2</v>
      </c>
      <c r="E178" s="62">
        <f>E157*E21</f>
        <v>5.5300000000000002E-2</v>
      </c>
      <c r="F178" s="9">
        <f>F157*E22</f>
        <v>8.2799999999999999E-2</v>
      </c>
      <c r="G178" s="9">
        <f>G157*E23</f>
        <v>4.0399999999999998E-2</v>
      </c>
      <c r="H178" s="9">
        <f>H157*E24</f>
        <v>4.2099999999999999E-2</v>
      </c>
      <c r="I178" s="62">
        <f>I157*E25</f>
        <v>1.7466666666666665E-2</v>
      </c>
      <c r="J178" s="92">
        <f>L157*E26</f>
        <v>6.1500000000000001E-3</v>
      </c>
      <c r="K178" s="87">
        <f>J157*E26</f>
        <v>4.0999999999999995E-3</v>
      </c>
      <c r="L178" s="70">
        <f t="shared" si="22"/>
        <v>0.76905666666666661</v>
      </c>
      <c r="M178" s="9">
        <f t="shared" si="20"/>
        <v>3</v>
      </c>
      <c r="N178" s="9"/>
      <c r="R178" s="63" t="s">
        <v>418</v>
      </c>
      <c r="S178" s="64">
        <f>B157*D18</f>
        <v>0.314</v>
      </c>
      <c r="T178" s="64">
        <f>C157*D19</f>
        <v>0.12180000000000001</v>
      </c>
      <c r="U178" s="64">
        <f>D157*D20</f>
        <v>8.879999999999999E-2</v>
      </c>
      <c r="V178" s="64">
        <f>E157*D21</f>
        <v>5.5500000000000001E-2</v>
      </c>
      <c r="W178" s="64">
        <f>F157*D22</f>
        <v>8.3000000000000004E-2</v>
      </c>
      <c r="X178" s="64">
        <f>G157*D23</f>
        <v>4.0666666666666663E-2</v>
      </c>
      <c r="Y178" s="64">
        <f>H157*D24</f>
        <v>4.2000000000000003E-2</v>
      </c>
      <c r="Z178" s="64">
        <f>I157*D25</f>
        <v>1.7333333333333333E-2</v>
      </c>
      <c r="AA178" s="64">
        <f>J157*D26</f>
        <v>4.0000000000000001E-3</v>
      </c>
      <c r="AB178" s="64">
        <f t="shared" si="21"/>
        <v>0.76709999999999989</v>
      </c>
      <c r="AC178" s="65">
        <f t="shared" si="23"/>
        <v>3</v>
      </c>
      <c r="AD178" s="63"/>
    </row>
    <row r="179" spans="1:30" x14ac:dyDescent="0.35">
      <c r="A179" s="9" t="s">
        <v>419</v>
      </c>
      <c r="B179" s="9">
        <f>B158*E18</f>
        <v>0.31430000000000002</v>
      </c>
      <c r="C179" s="62">
        <f>C158*E19</f>
        <v>0.12191999999999999</v>
      </c>
      <c r="D179" s="93">
        <f>D158*E20</f>
        <v>0.11816</v>
      </c>
      <c r="E179" s="9">
        <f>E158*E21</f>
        <v>5.5300000000000002E-2</v>
      </c>
      <c r="F179" s="94">
        <f>F158*E22</f>
        <v>4.1399999999999999E-2</v>
      </c>
      <c r="G179" s="62">
        <f>G158*E23</f>
        <v>2.4240000000000001E-2</v>
      </c>
      <c r="H179" s="9">
        <f>H158*E24</f>
        <v>4.2099999999999999E-2</v>
      </c>
      <c r="I179" s="93">
        <f>I158*E25</f>
        <v>8.7333333333333325E-3</v>
      </c>
      <c r="J179" s="92">
        <f>L158*E26</f>
        <v>6.1500000000000001E-3</v>
      </c>
      <c r="K179" s="87">
        <f>J158*E26</f>
        <v>4.0999999999999995E-3</v>
      </c>
      <c r="L179" s="70">
        <f t="shared" si="22"/>
        <v>0.73230333333333342</v>
      </c>
      <c r="M179" s="9">
        <f t="shared" si="20"/>
        <v>8</v>
      </c>
      <c r="N179" s="9"/>
      <c r="R179" s="9" t="s">
        <v>419</v>
      </c>
      <c r="S179" s="62">
        <f>B158*D18</f>
        <v>0.314</v>
      </c>
      <c r="T179" s="62">
        <f>C158*D19</f>
        <v>0.12180000000000001</v>
      </c>
      <c r="U179" s="62">
        <f>D158*D20</f>
        <v>0.11840000000000001</v>
      </c>
      <c r="V179" s="62">
        <f>E158*D21</f>
        <v>5.5500000000000001E-2</v>
      </c>
      <c r="W179" s="62">
        <f>F158*D22</f>
        <v>4.1500000000000002E-2</v>
      </c>
      <c r="X179" s="62">
        <f>G158*D23</f>
        <v>2.4400000000000002E-2</v>
      </c>
      <c r="Y179" s="62">
        <f>H158*D24</f>
        <v>4.2000000000000003E-2</v>
      </c>
      <c r="Z179" s="62">
        <f>I158*D25</f>
        <v>8.6666666666666663E-3</v>
      </c>
      <c r="AA179" s="62">
        <f>J158*D26</f>
        <v>4.0000000000000001E-3</v>
      </c>
      <c r="AB179" s="62">
        <f t="shared" si="21"/>
        <v>0.73026666666666673</v>
      </c>
      <c r="AC179" s="21">
        <f t="shared" si="23"/>
        <v>8</v>
      </c>
      <c r="AD179" s="9" t="s">
        <v>472</v>
      </c>
    </row>
    <row r="180" spans="1:30" x14ac:dyDescent="0.35">
      <c r="A180" s="9" t="s">
        <v>420</v>
      </c>
      <c r="B180" s="9">
        <f>B159*E18</f>
        <v>0.31430000000000002</v>
      </c>
      <c r="C180" s="62">
        <f>C159*E19</f>
        <v>8.1280000000000005E-2</v>
      </c>
      <c r="D180" s="62">
        <f>D159*E20</f>
        <v>0.11816</v>
      </c>
      <c r="E180" s="9">
        <f>E159*E21</f>
        <v>5.5300000000000002E-2</v>
      </c>
      <c r="F180" s="9">
        <f>F159*E22</f>
        <v>8.2799999999999999E-2</v>
      </c>
      <c r="G180" s="62">
        <f>G159*E23</f>
        <v>2.4240000000000001E-2</v>
      </c>
      <c r="H180" s="9">
        <f>H159*E24</f>
        <v>4.2099999999999999E-2</v>
      </c>
      <c r="I180" s="62">
        <f>I159*E25</f>
        <v>1.7466666666666665E-2</v>
      </c>
      <c r="J180" s="92">
        <f>L159*E26</f>
        <v>6.1500000000000001E-3</v>
      </c>
      <c r="K180" s="87">
        <f>J159*E26</f>
        <v>4.0999999999999995E-3</v>
      </c>
      <c r="L180" s="70">
        <f t="shared" si="22"/>
        <v>0.74179666666666677</v>
      </c>
      <c r="M180" s="9">
        <f t="shared" si="20"/>
        <v>7</v>
      </c>
      <c r="N180" s="9"/>
      <c r="R180" s="9" t="s">
        <v>420</v>
      </c>
      <c r="S180" s="62">
        <f>B159*D18</f>
        <v>0.314</v>
      </c>
      <c r="T180" s="62">
        <f>C159*D19</f>
        <v>8.1200000000000008E-2</v>
      </c>
      <c r="U180" s="62">
        <f>D159*D20</f>
        <v>0.11840000000000001</v>
      </c>
      <c r="V180" s="62">
        <f>E159*D21</f>
        <v>5.5500000000000001E-2</v>
      </c>
      <c r="W180" s="62">
        <f>F159*D22</f>
        <v>8.3000000000000004E-2</v>
      </c>
      <c r="X180" s="62">
        <f>G159*D23</f>
        <v>2.4400000000000002E-2</v>
      </c>
      <c r="Y180" s="62">
        <f>H159*D24</f>
        <v>4.2000000000000003E-2</v>
      </c>
      <c r="Z180" s="62">
        <f>I159*D25</f>
        <v>1.7333333333333333E-2</v>
      </c>
      <c r="AA180" s="62">
        <f>J159*D26</f>
        <v>4.0000000000000001E-3</v>
      </c>
      <c r="AB180" s="62">
        <f t="shared" si="21"/>
        <v>0.73983333333333334</v>
      </c>
      <c r="AC180" s="21">
        <f t="shared" si="23"/>
        <v>7</v>
      </c>
      <c r="AD180" s="9" t="s">
        <v>472</v>
      </c>
    </row>
    <row r="181" spans="1:30" x14ac:dyDescent="0.35">
      <c r="A181" s="9" t="s">
        <v>421</v>
      </c>
      <c r="B181" s="9">
        <f>B160*E18</f>
        <v>0.31430000000000002</v>
      </c>
      <c r="C181" s="62">
        <f>C160*E19</f>
        <v>0.12191999999999999</v>
      </c>
      <c r="D181" s="62">
        <f>D160*E20</f>
        <v>8.861999999999999E-2</v>
      </c>
      <c r="E181" s="9">
        <f>E160*E21</f>
        <v>5.5300000000000002E-2</v>
      </c>
      <c r="F181" s="9">
        <f>F160*E22</f>
        <v>4.1399999999999999E-2</v>
      </c>
      <c r="G181" s="62">
        <f>G160*E23</f>
        <v>2.4240000000000001E-2</v>
      </c>
      <c r="H181" s="9">
        <f>H160*E24</f>
        <v>4.2099999999999999E-2</v>
      </c>
      <c r="I181" s="9">
        <f>I160*E25</f>
        <v>2.6200000000000001E-2</v>
      </c>
      <c r="J181" s="85">
        <f>L160*E26</f>
        <v>1.23E-2</v>
      </c>
      <c r="K181" s="87">
        <f>J160*E26</f>
        <v>8.199999999999999E-3</v>
      </c>
      <c r="L181" s="70">
        <f t="shared" si="22"/>
        <v>0.72638000000000003</v>
      </c>
      <c r="M181" s="9">
        <f t="shared" si="20"/>
        <v>9</v>
      </c>
      <c r="N181" s="9"/>
      <c r="R181" s="66" t="s">
        <v>421</v>
      </c>
      <c r="S181" s="68">
        <f>B160*D18</f>
        <v>0.314</v>
      </c>
      <c r="T181" s="68">
        <f>C160*D19</f>
        <v>0.12180000000000001</v>
      </c>
      <c r="U181" s="68">
        <f>D160*D20</f>
        <v>8.879999999999999E-2</v>
      </c>
      <c r="V181" s="68">
        <f>E160*D21</f>
        <v>5.5500000000000001E-2</v>
      </c>
      <c r="W181" s="68">
        <f>F160*D22</f>
        <v>4.1500000000000002E-2</v>
      </c>
      <c r="X181" s="68">
        <f>G160*D23</f>
        <v>2.4400000000000002E-2</v>
      </c>
      <c r="Y181" s="68">
        <f>H160*D24</f>
        <v>4.2000000000000003E-2</v>
      </c>
      <c r="Z181" s="68">
        <f>I160*D25</f>
        <v>2.5999999999999999E-2</v>
      </c>
      <c r="AA181" s="68">
        <f>J160*D26</f>
        <v>8.0000000000000002E-3</v>
      </c>
      <c r="AB181" s="68">
        <f t="shared" si="21"/>
        <v>0.72199999999999998</v>
      </c>
      <c r="AC181" s="67">
        <f t="shared" si="23"/>
        <v>10</v>
      </c>
      <c r="AD181" s="66"/>
    </row>
    <row r="182" spans="1:30" x14ac:dyDescent="0.35">
      <c r="A182" s="9" t="s">
        <v>422</v>
      </c>
      <c r="B182" s="9">
        <f>B161*E18</f>
        <v>0.31430000000000002</v>
      </c>
      <c r="C182" s="62">
        <f>C161*E19</f>
        <v>0.12191999999999999</v>
      </c>
      <c r="D182" s="62">
        <f>D161*E20</f>
        <v>8.861999999999999E-2</v>
      </c>
      <c r="E182" s="9">
        <f>E161*E21</f>
        <v>5.5300000000000002E-2</v>
      </c>
      <c r="F182" s="9">
        <f>F161*E22</f>
        <v>8.2799999999999999E-2</v>
      </c>
      <c r="G182" s="62">
        <f>G161*E23</f>
        <v>2.4240000000000001E-2</v>
      </c>
      <c r="H182" s="9">
        <f>H161*E24</f>
        <v>4.2099999999999999E-2</v>
      </c>
      <c r="I182" s="62">
        <f>I161*E25</f>
        <v>1.7466666666666665E-2</v>
      </c>
      <c r="J182" s="85">
        <f>L161*E26</f>
        <v>1.23E-2</v>
      </c>
      <c r="K182" s="87">
        <f>J161*E26</f>
        <v>8.199999999999999E-3</v>
      </c>
      <c r="L182" s="70">
        <f t="shared" si="22"/>
        <v>0.75904666666666665</v>
      </c>
      <c r="M182" s="9">
        <f t="shared" si="20"/>
        <v>6</v>
      </c>
      <c r="N182" s="9"/>
      <c r="R182" s="9" t="s">
        <v>422</v>
      </c>
      <c r="S182" s="62">
        <f>B161*D18</f>
        <v>0.314</v>
      </c>
      <c r="T182" s="62">
        <f>C161*D19</f>
        <v>0.12180000000000001</v>
      </c>
      <c r="U182" s="62">
        <f>D161*D20</f>
        <v>8.879999999999999E-2</v>
      </c>
      <c r="V182" s="62">
        <f>E161*D21</f>
        <v>5.5500000000000001E-2</v>
      </c>
      <c r="W182" s="62">
        <f>F161*D22</f>
        <v>8.3000000000000004E-2</v>
      </c>
      <c r="X182" s="62">
        <f>G161*D23</f>
        <v>2.4400000000000002E-2</v>
      </c>
      <c r="Y182" s="62">
        <f>H161*D24</f>
        <v>4.2000000000000003E-2</v>
      </c>
      <c r="Z182" s="62">
        <f>I161*D25</f>
        <v>1.7333333333333333E-2</v>
      </c>
      <c r="AA182" s="62">
        <f>J161*D26</f>
        <v>8.0000000000000002E-3</v>
      </c>
      <c r="AB182" s="62">
        <f>SUM(S182:AA182)</f>
        <v>0.75483333333333325</v>
      </c>
      <c r="AC182" s="21">
        <f t="shared" si="23"/>
        <v>6</v>
      </c>
      <c r="AD182" s="9" t="s">
        <v>472</v>
      </c>
    </row>
    <row r="185" spans="1:30" x14ac:dyDescent="0.35">
      <c r="R185" t="s">
        <v>286</v>
      </c>
      <c r="S185">
        <f>B153*D18</f>
        <v>0.314</v>
      </c>
      <c r="T185">
        <f>C153*D19</f>
        <v>4.0600000000000004E-2</v>
      </c>
      <c r="U185">
        <f>D153* D20</f>
        <v>0.14799999999999999</v>
      </c>
      <c r="V185">
        <f>E153*D21</f>
        <v>0.111</v>
      </c>
      <c r="W185">
        <f>G153*D22</f>
        <v>3.32E-2</v>
      </c>
      <c r="X185">
        <f>G153*D23</f>
        <v>2.4400000000000002E-2</v>
      </c>
      <c r="Y185">
        <f>H153*D24</f>
        <v>2.1000000000000001E-2</v>
      </c>
      <c r="Z185">
        <f>I153*D25</f>
        <v>1.7333333333333333E-2</v>
      </c>
      <c r="AA185">
        <f>J153*D26</f>
        <v>4.0000000000000001E-3</v>
      </c>
      <c r="AB185">
        <f>SUM(S185:AA185)</f>
        <v>0.71353333333333335</v>
      </c>
    </row>
    <row r="187" spans="1:30" x14ac:dyDescent="0.35">
      <c r="R187" t="s">
        <v>473</v>
      </c>
      <c r="S187">
        <f>B153*D18</f>
        <v>0.314</v>
      </c>
      <c r="T187">
        <f>C153*D19</f>
        <v>4.0600000000000004E-2</v>
      </c>
      <c r="U187">
        <f>D153*D20</f>
        <v>0.14799999999999999</v>
      </c>
      <c r="V187">
        <f>E153*D21</f>
        <v>0.111</v>
      </c>
      <c r="W187">
        <f>F153*D22</f>
        <v>8.3000000000000004E-2</v>
      </c>
      <c r="X187">
        <f>G153*D23</f>
        <v>2.4400000000000002E-2</v>
      </c>
      <c r="Y187">
        <f>H153*D24</f>
        <v>2.1000000000000001E-2</v>
      </c>
      <c r="Z187">
        <f>I153*D25</f>
        <v>1.7333333333333333E-2</v>
      </c>
      <c r="AA187">
        <f>J153*D26</f>
        <v>4.0000000000000001E-3</v>
      </c>
      <c r="AB187">
        <f>SUM(S187:AA187)</f>
        <v>0.76333333333333331</v>
      </c>
    </row>
    <row r="189" spans="1:30" x14ac:dyDescent="0.35">
      <c r="R189" t="s">
        <v>474</v>
      </c>
      <c r="S189">
        <f>B157*D18</f>
        <v>0.314</v>
      </c>
      <c r="T189">
        <f>C157*D19</f>
        <v>0.12180000000000001</v>
      </c>
      <c r="U189">
        <f>D157*D20</f>
        <v>8.879999999999999E-2</v>
      </c>
      <c r="V189">
        <f>E157*D21</f>
        <v>5.5500000000000001E-2</v>
      </c>
      <c r="W189">
        <f>F157*D22</f>
        <v>8.3000000000000004E-2</v>
      </c>
      <c r="X189">
        <f>G157*D23</f>
        <v>4.0666666666666663E-2</v>
      </c>
      <c r="Y189">
        <f>H157*D24</f>
        <v>4.2000000000000003E-2</v>
      </c>
      <c r="Z189">
        <f>I157*D25</f>
        <v>1.7333333333333333E-2</v>
      </c>
      <c r="AA189">
        <f>J157*D26</f>
        <v>4.0000000000000001E-3</v>
      </c>
      <c r="AB189">
        <f>SUM(S189:AA189)</f>
        <v>0.76709999999999989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A57A-A845-4DC7-9421-80539E659A63}">
  <dimension ref="A1:D10"/>
  <sheetViews>
    <sheetView workbookViewId="0">
      <selection activeCell="D2" sqref="D2"/>
    </sheetView>
  </sheetViews>
  <sheetFormatPr defaultRowHeight="14.5" x14ac:dyDescent="0.35"/>
  <cols>
    <col min="1" max="1" width="12.36328125" customWidth="1"/>
    <col min="2" max="2" width="24.08984375" customWidth="1"/>
    <col min="3" max="3" width="16.6328125" bestFit="1" customWidth="1"/>
    <col min="4" max="4" width="33.08984375" customWidth="1"/>
  </cols>
  <sheetData>
    <row r="1" spans="1:4" ht="15" thickBot="1" x14ac:dyDescent="0.4">
      <c r="A1" s="9" t="s">
        <v>110</v>
      </c>
      <c r="B1" s="9" t="s">
        <v>128</v>
      </c>
      <c r="C1" t="s">
        <v>11</v>
      </c>
    </row>
    <row r="2" spans="1:4" ht="16" thickBot="1" x14ac:dyDescent="0.4">
      <c r="A2" s="9" t="s">
        <v>17</v>
      </c>
      <c r="B2" s="28" t="s">
        <v>27</v>
      </c>
      <c r="C2" s="96">
        <f>(1/9) *(1/1 + 1/2 + 1/3 + 1/4 + 1/5 + 1/6 + 1/7/ + 1/8 + 1/9)</f>
        <v>0.28655202821869485</v>
      </c>
      <c r="D2">
        <f>(1+1/2+1/3+1/4 +1/5+1/6+1/7+1/8+1/9)/9</f>
        <v>0.31432980599647264</v>
      </c>
    </row>
    <row r="3" spans="1:4" ht="16" thickBot="1" x14ac:dyDescent="0.4">
      <c r="A3" s="9" t="s">
        <v>18</v>
      </c>
      <c r="B3" s="29" t="s">
        <v>1</v>
      </c>
      <c r="C3">
        <f>((1/9) *(1/1 + 1/2 + 1/3 + 1/4 + 1/5 + 1/6 + 1/7/ + 1/8))</f>
        <v>0.27420634920634918</v>
      </c>
    </row>
    <row r="4" spans="1:4" ht="16" thickBot="1" x14ac:dyDescent="0.4">
      <c r="A4" s="9" t="s">
        <v>19</v>
      </c>
      <c r="B4" s="29" t="s">
        <v>2</v>
      </c>
      <c r="C4">
        <f>(1/9) *(1/1 + 1/2 + 1/3 + 1/4 + 1/5 + 1/6 + 1/7)</f>
        <v>0.28809523809523802</v>
      </c>
    </row>
    <row r="5" spans="1:4" ht="16" thickBot="1" x14ac:dyDescent="0.4">
      <c r="A5" s="9" t="s">
        <v>20</v>
      </c>
      <c r="B5" s="29" t="s">
        <v>3</v>
      </c>
    </row>
    <row r="6" spans="1:4" ht="16" thickBot="1" x14ac:dyDescent="0.4">
      <c r="A6" s="9" t="s">
        <v>21</v>
      </c>
      <c r="B6" s="29" t="s">
        <v>4</v>
      </c>
    </row>
    <row r="7" spans="1:4" ht="16" thickBot="1" x14ac:dyDescent="0.4">
      <c r="A7" s="9" t="s">
        <v>22</v>
      </c>
      <c r="B7" s="29" t="s">
        <v>290</v>
      </c>
    </row>
    <row r="8" spans="1:4" ht="16" thickBot="1" x14ac:dyDescent="0.4">
      <c r="A8" s="9" t="s">
        <v>23</v>
      </c>
      <c r="B8" s="29" t="s">
        <v>291</v>
      </c>
    </row>
    <row r="9" spans="1:4" ht="16" thickBot="1" x14ac:dyDescent="0.4">
      <c r="A9" s="9" t="s">
        <v>24</v>
      </c>
      <c r="B9" s="29" t="s">
        <v>33</v>
      </c>
    </row>
    <row r="10" spans="1:4" ht="16" thickBot="1" x14ac:dyDescent="0.4">
      <c r="A10" s="9" t="s">
        <v>25</v>
      </c>
      <c r="B10" s="29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26FB-65A5-4DCB-9E1D-A2FA0EB2B8E1}">
  <dimension ref="A1:T119"/>
  <sheetViews>
    <sheetView topLeftCell="A11" zoomScale="99" zoomScaleNormal="118" workbookViewId="0">
      <selection activeCell="I26" sqref="I26"/>
    </sheetView>
  </sheetViews>
  <sheetFormatPr defaultRowHeight="14.5" x14ac:dyDescent="0.35"/>
  <cols>
    <col min="1" max="1" width="19.6328125" customWidth="1"/>
    <col min="2" max="2" width="18.81640625" customWidth="1"/>
    <col min="3" max="5" width="13.1796875" customWidth="1"/>
    <col min="6" max="8" width="20.453125" customWidth="1"/>
    <col min="9" max="9" width="18.453125" customWidth="1"/>
    <col min="10" max="10" width="17.6328125" customWidth="1"/>
    <col min="11" max="11" width="17" customWidth="1"/>
    <col min="12" max="12" width="10.54296875" customWidth="1"/>
    <col min="13" max="13" width="11.08984375" customWidth="1"/>
    <col min="14" max="14" width="14.453125" customWidth="1"/>
    <col min="15" max="15" width="15.81640625" customWidth="1"/>
    <col min="16" max="16" width="13" customWidth="1"/>
    <col min="17" max="17" width="11.453125" customWidth="1"/>
    <col min="18" max="18" width="18.453125" customWidth="1"/>
    <col min="19" max="19" width="22.1796875" customWidth="1"/>
    <col min="20" max="20" width="33.08984375" customWidth="1"/>
    <col min="24" max="24" width="17.453125" customWidth="1"/>
  </cols>
  <sheetData>
    <row r="1" spans="1:20" x14ac:dyDescent="0.35">
      <c r="A1" t="s">
        <v>109</v>
      </c>
      <c r="I1" t="s">
        <v>123</v>
      </c>
    </row>
    <row r="2" spans="1:20" x14ac:dyDescent="0.35">
      <c r="A2" s="9" t="s">
        <v>110</v>
      </c>
      <c r="B2" s="9" t="s">
        <v>128</v>
      </c>
    </row>
    <row r="3" spans="1:20" x14ac:dyDescent="0.35">
      <c r="A3" s="9" t="s">
        <v>17</v>
      </c>
      <c r="B3" s="17" t="s">
        <v>3</v>
      </c>
      <c r="I3" t="s">
        <v>17</v>
      </c>
      <c r="J3" t="s">
        <v>3</v>
      </c>
      <c r="N3" t="s">
        <v>20</v>
      </c>
      <c r="O3" t="s">
        <v>31</v>
      </c>
      <c r="R3" t="s">
        <v>23</v>
      </c>
      <c r="S3" t="s">
        <v>5</v>
      </c>
    </row>
    <row r="4" spans="1:20" x14ac:dyDescent="0.35">
      <c r="A4" s="9" t="s">
        <v>18</v>
      </c>
      <c r="B4" s="17" t="s">
        <v>27</v>
      </c>
      <c r="J4" t="s">
        <v>26</v>
      </c>
      <c r="K4" t="s">
        <v>11</v>
      </c>
      <c r="N4" t="s">
        <v>26</v>
      </c>
      <c r="O4" t="s">
        <v>128</v>
      </c>
      <c r="P4" t="s">
        <v>11</v>
      </c>
      <c r="S4" t="s">
        <v>26</v>
      </c>
      <c r="T4" t="s">
        <v>11</v>
      </c>
    </row>
    <row r="5" spans="1:20" ht="29" x14ac:dyDescent="0.35">
      <c r="A5" s="9" t="s">
        <v>19</v>
      </c>
      <c r="B5" s="17" t="s">
        <v>1</v>
      </c>
      <c r="J5" t="s">
        <v>188</v>
      </c>
      <c r="K5">
        <v>1</v>
      </c>
      <c r="N5" s="3" t="s">
        <v>204</v>
      </c>
      <c r="O5" s="3" t="s">
        <v>200</v>
      </c>
      <c r="P5">
        <v>1</v>
      </c>
      <c r="S5" t="s">
        <v>213</v>
      </c>
      <c r="T5">
        <v>1</v>
      </c>
    </row>
    <row r="6" spans="1:20" ht="58" x14ac:dyDescent="0.35">
      <c r="A6" s="9" t="s">
        <v>20</v>
      </c>
      <c r="B6" s="17" t="s">
        <v>50</v>
      </c>
      <c r="J6" t="s">
        <v>189</v>
      </c>
      <c r="K6">
        <v>2</v>
      </c>
      <c r="N6" s="3" t="s">
        <v>205</v>
      </c>
      <c r="O6" s="3" t="s">
        <v>201</v>
      </c>
      <c r="P6">
        <v>2</v>
      </c>
      <c r="S6" s="3" t="s">
        <v>214</v>
      </c>
      <c r="T6" s="3">
        <v>2</v>
      </c>
    </row>
    <row r="7" spans="1:20" ht="58" x14ac:dyDescent="0.35">
      <c r="A7" s="9" t="s">
        <v>21</v>
      </c>
      <c r="B7" s="17" t="s">
        <v>4</v>
      </c>
      <c r="J7" t="s">
        <v>190</v>
      </c>
      <c r="K7">
        <v>3</v>
      </c>
      <c r="N7" s="3" t="s">
        <v>206</v>
      </c>
      <c r="O7" s="3" t="s">
        <v>202</v>
      </c>
      <c r="P7">
        <v>3</v>
      </c>
      <c r="S7" s="3" t="s">
        <v>216</v>
      </c>
      <c r="T7" s="3">
        <v>3</v>
      </c>
    </row>
    <row r="8" spans="1:20" ht="72.5" x14ac:dyDescent="0.35">
      <c r="A8" s="9" t="s">
        <v>22</v>
      </c>
      <c r="B8" s="17" t="s">
        <v>187</v>
      </c>
      <c r="J8" t="s">
        <v>191</v>
      </c>
      <c r="K8">
        <v>4</v>
      </c>
      <c r="N8" s="3" t="s">
        <v>207</v>
      </c>
      <c r="O8" s="3" t="s">
        <v>203</v>
      </c>
      <c r="P8">
        <v>4</v>
      </c>
      <c r="S8" s="3" t="s">
        <v>215</v>
      </c>
      <c r="T8" s="3">
        <v>4</v>
      </c>
    </row>
    <row r="9" spans="1:20" x14ac:dyDescent="0.35">
      <c r="A9" s="9" t="s">
        <v>23</v>
      </c>
      <c r="B9" s="17" t="s">
        <v>5</v>
      </c>
    </row>
    <row r="10" spans="1:20" x14ac:dyDescent="0.35">
      <c r="A10" s="9" t="s">
        <v>24</v>
      </c>
      <c r="B10" s="17" t="s">
        <v>151</v>
      </c>
    </row>
    <row r="11" spans="1:20" x14ac:dyDescent="0.35">
      <c r="A11" s="9" t="s">
        <v>25</v>
      </c>
      <c r="B11" s="17" t="s">
        <v>150</v>
      </c>
      <c r="I11" t="s">
        <v>18</v>
      </c>
      <c r="J11" s="1" t="s">
        <v>27</v>
      </c>
      <c r="N11" t="s">
        <v>21</v>
      </c>
      <c r="O11" t="s">
        <v>4</v>
      </c>
      <c r="R11" t="s">
        <v>24</v>
      </c>
      <c r="S11" t="s">
        <v>33</v>
      </c>
    </row>
    <row r="12" spans="1:20" x14ac:dyDescent="0.35">
      <c r="A12" s="9"/>
      <c r="B12" s="17"/>
      <c r="J12" t="s">
        <v>26</v>
      </c>
      <c r="K12" t="s">
        <v>11</v>
      </c>
      <c r="O12" t="s">
        <v>26</v>
      </c>
      <c r="P12" t="s">
        <v>11</v>
      </c>
      <c r="S12" t="s">
        <v>26</v>
      </c>
      <c r="T12" t="s">
        <v>11</v>
      </c>
    </row>
    <row r="13" spans="1:20" x14ac:dyDescent="0.35">
      <c r="B13" s="15"/>
      <c r="J13" t="s">
        <v>192</v>
      </c>
      <c r="K13">
        <v>1</v>
      </c>
      <c r="O13" t="s">
        <v>36</v>
      </c>
      <c r="P13">
        <v>1</v>
      </c>
      <c r="S13" t="s">
        <v>132</v>
      </c>
      <c r="T13">
        <v>3</v>
      </c>
    </row>
    <row r="14" spans="1:20" x14ac:dyDescent="0.35">
      <c r="B14" s="15"/>
      <c r="J14" t="s">
        <v>193</v>
      </c>
      <c r="K14">
        <v>2</v>
      </c>
      <c r="O14" t="s">
        <v>208</v>
      </c>
      <c r="P14">
        <v>2</v>
      </c>
      <c r="S14" t="s">
        <v>133</v>
      </c>
      <c r="T14">
        <v>7</v>
      </c>
    </row>
    <row r="15" spans="1:20" x14ac:dyDescent="0.35">
      <c r="A15" s="18" t="s">
        <v>108</v>
      </c>
      <c r="B15" s="15"/>
      <c r="J15" t="s">
        <v>194</v>
      </c>
      <c r="K15">
        <v>3</v>
      </c>
      <c r="O15" t="s">
        <v>37</v>
      </c>
      <c r="P15">
        <v>3</v>
      </c>
    </row>
    <row r="16" spans="1:20" x14ac:dyDescent="0.35">
      <c r="A16" s="9"/>
      <c r="B16" s="15"/>
      <c r="J16" t="s">
        <v>195</v>
      </c>
      <c r="K16">
        <v>4</v>
      </c>
      <c r="O16" t="s">
        <v>220</v>
      </c>
      <c r="P16">
        <v>4</v>
      </c>
    </row>
    <row r="17" spans="1:20" ht="43.5" x14ac:dyDescent="0.35">
      <c r="A17" s="17" t="s">
        <v>110</v>
      </c>
      <c r="B17" s="17" t="s">
        <v>111</v>
      </c>
      <c r="C17" s="17" t="s">
        <v>11</v>
      </c>
      <c r="D17" s="17" t="s">
        <v>223</v>
      </c>
      <c r="E17" s="23" t="s">
        <v>228</v>
      </c>
      <c r="F17" s="17" t="s">
        <v>229</v>
      </c>
      <c r="G17" s="9"/>
      <c r="O17" s="3"/>
    </row>
    <row r="18" spans="1:20" x14ac:dyDescent="0.35">
      <c r="A18" s="9" t="s">
        <v>17</v>
      </c>
      <c r="B18" s="17" t="s">
        <v>112</v>
      </c>
      <c r="C18" s="17">
        <v>15</v>
      </c>
      <c r="D18" s="24">
        <f>(1/9) * (1/1 + 1/2 + 1/3 + 1/4 + 1/5 + 1/6 + 1/7 + 1/8 + 1/9)</f>
        <v>0.31432980599647259</v>
      </c>
      <c r="E18" s="21">
        <f>100*D18</f>
        <v>31.432980599647259</v>
      </c>
      <c r="F18" s="17">
        <v>15</v>
      </c>
      <c r="G18" s="9" t="s">
        <v>230</v>
      </c>
      <c r="H18" s="22"/>
      <c r="R18" t="s">
        <v>25</v>
      </c>
      <c r="S18" t="s">
        <v>152</v>
      </c>
    </row>
    <row r="19" spans="1:20" x14ac:dyDescent="0.35">
      <c r="A19" s="9" t="s">
        <v>18</v>
      </c>
      <c r="B19" s="17" t="s">
        <v>113</v>
      </c>
      <c r="C19" s="17">
        <v>20</v>
      </c>
      <c r="D19" s="24">
        <f>(1/9) * (1/2 + 1/3 + 1/4 + 1/5 + 1/6 + 1/7 + 1/8 + 1/9)</f>
        <v>0.20321869488536154</v>
      </c>
      <c r="E19" s="21">
        <f t="shared" ref="E19:E26" si="0">100*D19</f>
        <v>20.321869488536155</v>
      </c>
      <c r="F19" s="17">
        <v>20</v>
      </c>
      <c r="G19" s="9" t="s">
        <v>231</v>
      </c>
      <c r="H19" s="22"/>
      <c r="S19" t="s">
        <v>26</v>
      </c>
      <c r="T19" t="s">
        <v>11</v>
      </c>
    </row>
    <row r="20" spans="1:20" x14ac:dyDescent="0.35">
      <c r="A20" s="9" t="s">
        <v>19</v>
      </c>
      <c r="B20" s="17" t="s">
        <v>114</v>
      </c>
      <c r="C20" s="17">
        <v>15</v>
      </c>
      <c r="D20" s="24">
        <f>(1/9) * (1/3 + 1/4 + 1/5 + 1/6 + 1/7 + 1/8 + 1/9)</f>
        <v>0.14766313932980599</v>
      </c>
      <c r="E20" s="21">
        <f t="shared" si="0"/>
        <v>14.766313932980598</v>
      </c>
      <c r="F20" s="17">
        <v>15</v>
      </c>
      <c r="G20" s="9" t="s">
        <v>231</v>
      </c>
      <c r="H20" s="22"/>
      <c r="S20" t="s">
        <v>153</v>
      </c>
      <c r="T20">
        <v>2</v>
      </c>
    </row>
    <row r="21" spans="1:20" x14ac:dyDescent="0.35">
      <c r="A21" s="9" t="s">
        <v>20</v>
      </c>
      <c r="B21" s="17" t="s">
        <v>115</v>
      </c>
      <c r="C21" s="17">
        <v>10</v>
      </c>
      <c r="D21" s="24">
        <f>(1/9) * (1/4 + 1/5 + 1/6 + 1/7 + 1/8 + 1/9)</f>
        <v>0.11062610229276895</v>
      </c>
      <c r="E21" s="21">
        <f t="shared" si="0"/>
        <v>11.062610229276896</v>
      </c>
      <c r="F21" s="17">
        <v>10</v>
      </c>
      <c r="G21" s="9" t="s">
        <v>232</v>
      </c>
      <c r="H21" s="22"/>
      <c r="I21" t="s">
        <v>19</v>
      </c>
      <c r="J21" t="s">
        <v>1</v>
      </c>
      <c r="N21" t="s">
        <v>22</v>
      </c>
      <c r="O21" t="s">
        <v>187</v>
      </c>
      <c r="S21" t="s">
        <v>154</v>
      </c>
      <c r="T21">
        <v>3</v>
      </c>
    </row>
    <row r="22" spans="1:20" x14ac:dyDescent="0.35">
      <c r="A22" s="9" t="s">
        <v>21</v>
      </c>
      <c r="B22" s="17" t="s">
        <v>116</v>
      </c>
      <c r="C22" s="17">
        <v>10</v>
      </c>
      <c r="D22" s="24">
        <f>(1/9) * (1/5 + 1/6 + 1/7 + 1/8 + 1/9)</f>
        <v>8.2848324514991176E-2</v>
      </c>
      <c r="E22" s="21">
        <f t="shared" si="0"/>
        <v>8.284832451499117</v>
      </c>
      <c r="F22" s="17">
        <v>10</v>
      </c>
      <c r="G22" s="9" t="s">
        <v>233</v>
      </c>
      <c r="H22" s="22"/>
      <c r="J22" t="s">
        <v>30</v>
      </c>
      <c r="K22" t="s">
        <v>199</v>
      </c>
      <c r="L22" t="s">
        <v>11</v>
      </c>
      <c r="O22" t="s">
        <v>26</v>
      </c>
      <c r="P22" t="s">
        <v>11</v>
      </c>
      <c r="S22" t="s">
        <v>155</v>
      </c>
      <c r="T22">
        <v>5</v>
      </c>
    </row>
    <row r="23" spans="1:20" x14ac:dyDescent="0.35">
      <c r="A23" s="9" t="s">
        <v>22</v>
      </c>
      <c r="B23" s="17" t="s">
        <v>117</v>
      </c>
      <c r="C23" s="17">
        <v>5</v>
      </c>
      <c r="D23" s="24">
        <f>(1/9) * (1/6 + 1/7 + 1/8 + 1/9)</f>
        <v>6.0626102292768963E-2</v>
      </c>
      <c r="E23" s="21">
        <f t="shared" si="0"/>
        <v>6.0626102292768964</v>
      </c>
      <c r="F23" s="17">
        <v>5</v>
      </c>
      <c r="G23" s="9" t="s">
        <v>232</v>
      </c>
      <c r="H23" s="22"/>
      <c r="J23" t="s">
        <v>196</v>
      </c>
      <c r="K23" t="s">
        <v>200</v>
      </c>
      <c r="L23">
        <v>1</v>
      </c>
      <c r="O23" t="s">
        <v>209</v>
      </c>
      <c r="P23">
        <v>1</v>
      </c>
    </row>
    <row r="24" spans="1:20" ht="43.5" x14ac:dyDescent="0.35">
      <c r="A24" s="9" t="s">
        <v>23</v>
      </c>
      <c r="B24" s="17" t="s">
        <v>118</v>
      </c>
      <c r="C24" s="17">
        <v>5</v>
      </c>
      <c r="D24" s="24">
        <f>(1/9) * (1/7 + 1/8 + 1/9)</f>
        <v>4.2107583774250439E-2</v>
      </c>
      <c r="E24" s="21">
        <f t="shared" si="0"/>
        <v>4.2107583774250434</v>
      </c>
      <c r="F24" s="17">
        <v>5</v>
      </c>
      <c r="G24" s="9" t="s">
        <v>232</v>
      </c>
      <c r="H24" s="22"/>
      <c r="J24" s="3" t="s">
        <v>197</v>
      </c>
      <c r="K24" s="3" t="s">
        <v>201</v>
      </c>
      <c r="L24">
        <v>2</v>
      </c>
      <c r="O24" t="s">
        <v>210</v>
      </c>
      <c r="P24">
        <v>2</v>
      </c>
    </row>
    <row r="25" spans="1:20" ht="43.5" x14ac:dyDescent="0.35">
      <c r="A25" s="9" t="s">
        <v>24</v>
      </c>
      <c r="B25" s="17" t="s">
        <v>119</v>
      </c>
      <c r="C25" s="17">
        <v>5</v>
      </c>
      <c r="D25" s="24">
        <f>(1/9) * (1/8 + 1/9)</f>
        <v>2.6234567901234566E-2</v>
      </c>
      <c r="E25" s="21">
        <f t="shared" si="0"/>
        <v>2.6234567901234565</v>
      </c>
      <c r="F25" s="17">
        <v>5</v>
      </c>
      <c r="G25" s="9" t="s">
        <v>233</v>
      </c>
      <c r="H25" s="22"/>
      <c r="J25" s="3" t="s">
        <v>197</v>
      </c>
      <c r="K25" s="3" t="s">
        <v>202</v>
      </c>
      <c r="L25">
        <v>3</v>
      </c>
      <c r="O25" t="s">
        <v>211</v>
      </c>
      <c r="P25">
        <v>3</v>
      </c>
    </row>
    <row r="26" spans="1:20" ht="58" x14ac:dyDescent="0.35">
      <c r="A26" s="9" t="s">
        <v>25</v>
      </c>
      <c r="B26" s="17" t="s">
        <v>120</v>
      </c>
      <c r="C26" s="17">
        <v>15</v>
      </c>
      <c r="D26" s="24">
        <f>(1/9) * (1/9)</f>
        <v>1.2345679012345678E-2</v>
      </c>
      <c r="E26" s="21">
        <f t="shared" si="0"/>
        <v>1.2345679012345678</v>
      </c>
      <c r="F26" s="17">
        <v>15</v>
      </c>
      <c r="G26" s="9" t="s">
        <v>234</v>
      </c>
      <c r="H26" s="22"/>
      <c r="J26" s="3" t="s">
        <v>198</v>
      </c>
      <c r="K26" s="3" t="s">
        <v>203</v>
      </c>
      <c r="L26">
        <v>4</v>
      </c>
      <c r="O26" t="s">
        <v>212</v>
      </c>
      <c r="P26">
        <v>4</v>
      </c>
    </row>
    <row r="27" spans="1:20" x14ac:dyDescent="0.35">
      <c r="A27" s="9"/>
      <c r="B27" s="17"/>
      <c r="C27" s="17">
        <f>C18+C19+C20+C21+C22+C23+C24+C25+C26</f>
        <v>100</v>
      </c>
      <c r="D27" s="24">
        <f>SUM(D18:D26)</f>
        <v>0.99999999999999978</v>
      </c>
      <c r="E27" s="21">
        <f>SUM(E18:E26)</f>
        <v>99.999999999999986</v>
      </c>
      <c r="F27" s="9">
        <f>SUM(F18:F26)</f>
        <v>100</v>
      </c>
      <c r="G27" s="9"/>
      <c r="H27" s="22"/>
    </row>
    <row r="28" spans="1:20" x14ac:dyDescent="0.35">
      <c r="A28" s="4"/>
      <c r="B28" s="4"/>
      <c r="C28" s="4"/>
      <c r="D28" s="4"/>
      <c r="E28" s="4"/>
    </row>
    <row r="30" spans="1:20" x14ac:dyDescent="0.35">
      <c r="A30" s="18" t="s">
        <v>121</v>
      </c>
    </row>
    <row r="32" spans="1:20" ht="29" x14ac:dyDescent="0.35">
      <c r="A32" s="17" t="s">
        <v>110</v>
      </c>
      <c r="B32" s="9" t="s">
        <v>122</v>
      </c>
      <c r="C32" s="9" t="s">
        <v>224</v>
      </c>
      <c r="D32" s="9"/>
      <c r="E32" s="9"/>
      <c r="F32" s="9" t="s">
        <v>223</v>
      </c>
      <c r="G32" s="9" t="s">
        <v>122</v>
      </c>
      <c r="H32" s="9" t="s">
        <v>225</v>
      </c>
      <c r="I32" s="9" t="s">
        <v>227</v>
      </c>
      <c r="J32" s="23" t="s">
        <v>226</v>
      </c>
    </row>
    <row r="33" spans="1:19" x14ac:dyDescent="0.35">
      <c r="A33" s="9" t="s">
        <v>17</v>
      </c>
      <c r="B33" s="9" t="s">
        <v>28</v>
      </c>
      <c r="C33" s="9">
        <v>6</v>
      </c>
      <c r="D33" s="9"/>
      <c r="E33" s="9"/>
      <c r="F33" s="9" t="s">
        <v>19</v>
      </c>
      <c r="G33" s="9" t="s">
        <v>29</v>
      </c>
      <c r="H33" s="9">
        <v>15</v>
      </c>
      <c r="I33" s="24">
        <f>(1/9) * (1/1 + 1/2 + 1/3 + 1/4 + 1/5 + 1/6 + 1/7 + 1/8 + 1/9)</f>
        <v>0.31432980599647259</v>
      </c>
      <c r="J33" s="21">
        <f>100*I33</f>
        <v>31.432980599647259</v>
      </c>
    </row>
    <row r="34" spans="1:19" x14ac:dyDescent="0.35">
      <c r="A34" s="9" t="s">
        <v>18</v>
      </c>
      <c r="B34" s="9" t="s">
        <v>28</v>
      </c>
      <c r="C34" s="9">
        <v>7</v>
      </c>
      <c r="D34" s="9"/>
      <c r="E34" s="9"/>
      <c r="F34" s="9" t="s">
        <v>20</v>
      </c>
      <c r="G34" s="9" t="s">
        <v>29</v>
      </c>
      <c r="H34" s="9">
        <v>10</v>
      </c>
      <c r="I34" s="24">
        <f>(1/9) * (1/2 + 1/3 + 1/4 + 1/5 + 1/6 + 1/7 + 1/8 + 1/9)</f>
        <v>0.20321869488536154</v>
      </c>
      <c r="J34" s="21">
        <f t="shared" ref="J34:J41" si="1">100*I34</f>
        <v>20.321869488536155</v>
      </c>
    </row>
    <row r="35" spans="1:19" x14ac:dyDescent="0.35">
      <c r="A35" s="9" t="s">
        <v>19</v>
      </c>
      <c r="B35" s="9" t="s">
        <v>29</v>
      </c>
      <c r="C35" s="9">
        <v>1</v>
      </c>
      <c r="D35" s="9"/>
      <c r="E35" s="21"/>
      <c r="F35" s="9" t="s">
        <v>21</v>
      </c>
      <c r="G35" s="9" t="s">
        <v>29</v>
      </c>
      <c r="H35" s="9">
        <v>10</v>
      </c>
      <c r="I35" s="24">
        <f>(1/9) * (1/3 + 1/4 + 1/5 + 1/6 + 1/7 + 1/8 + 1/9)</f>
        <v>0.14766313932980599</v>
      </c>
      <c r="J35" s="21">
        <f t="shared" si="1"/>
        <v>14.766313932980598</v>
      </c>
    </row>
    <row r="36" spans="1:19" x14ac:dyDescent="0.35">
      <c r="A36" s="9" t="s">
        <v>20</v>
      </c>
      <c r="B36" s="9" t="s">
        <v>29</v>
      </c>
      <c r="C36" s="9">
        <v>2</v>
      </c>
      <c r="D36" s="9"/>
      <c r="E36" s="9"/>
      <c r="F36" s="9" t="s">
        <v>22</v>
      </c>
      <c r="G36" s="9" t="s">
        <v>29</v>
      </c>
      <c r="H36" s="9">
        <v>5</v>
      </c>
      <c r="I36" s="24">
        <f>(1/9) * (1/4 + 1/5 + 1/6 + 1/7 + 1/8 + 1/9)</f>
        <v>0.11062610229276895</v>
      </c>
      <c r="J36" s="21">
        <f t="shared" si="1"/>
        <v>11.062610229276896</v>
      </c>
    </row>
    <row r="37" spans="1:19" x14ac:dyDescent="0.35">
      <c r="A37" s="9" t="s">
        <v>21</v>
      </c>
      <c r="B37" s="9" t="s">
        <v>29</v>
      </c>
      <c r="C37" s="9">
        <v>3</v>
      </c>
      <c r="D37" s="9"/>
      <c r="E37" s="9"/>
      <c r="F37" s="9" t="s">
        <v>24</v>
      </c>
      <c r="G37" s="9" t="s">
        <v>29</v>
      </c>
      <c r="H37" s="9">
        <v>5</v>
      </c>
      <c r="I37" s="24">
        <f>(1/9) * (1/5 + 1/6 + 1/7 + 1/8 + 1/9)</f>
        <v>8.2848324514991176E-2</v>
      </c>
      <c r="J37" s="21">
        <f t="shared" si="1"/>
        <v>8.284832451499117</v>
      </c>
    </row>
    <row r="38" spans="1:19" x14ac:dyDescent="0.35">
      <c r="A38" s="9" t="s">
        <v>22</v>
      </c>
      <c r="B38" s="9" t="s">
        <v>29</v>
      </c>
      <c r="C38" s="9">
        <v>4</v>
      </c>
      <c r="D38" s="9"/>
      <c r="E38" s="9"/>
      <c r="F38" s="9" t="s">
        <v>17</v>
      </c>
      <c r="G38" s="9" t="s">
        <v>28</v>
      </c>
      <c r="H38" s="9">
        <v>15</v>
      </c>
      <c r="I38" s="24">
        <f>(1/9) * (1/6 + 1/7 + 1/8 + 1/9)</f>
        <v>6.0626102292768963E-2</v>
      </c>
      <c r="J38" s="21">
        <f t="shared" si="1"/>
        <v>6.0626102292768964</v>
      </c>
      <c r="R38" s="3"/>
      <c r="S38" s="3"/>
    </row>
    <row r="39" spans="1:19" x14ac:dyDescent="0.35">
      <c r="A39" s="9" t="s">
        <v>23</v>
      </c>
      <c r="B39" s="9" t="s">
        <v>28</v>
      </c>
      <c r="C39" s="9">
        <v>8</v>
      </c>
      <c r="D39" s="9"/>
      <c r="E39" s="9"/>
      <c r="F39" s="9" t="s">
        <v>18</v>
      </c>
      <c r="G39" s="9" t="s">
        <v>28</v>
      </c>
      <c r="H39" s="9">
        <v>20</v>
      </c>
      <c r="I39" s="24">
        <f>(1/9) * (1/7 + 1/8 + 1/9)</f>
        <v>4.2107583774250439E-2</v>
      </c>
      <c r="J39" s="21">
        <f t="shared" si="1"/>
        <v>4.2107583774250434</v>
      </c>
      <c r="R39" s="3"/>
      <c r="S39" s="3"/>
    </row>
    <row r="40" spans="1:19" x14ac:dyDescent="0.35">
      <c r="A40" s="9" t="s">
        <v>24</v>
      </c>
      <c r="B40" s="9" t="s">
        <v>29</v>
      </c>
      <c r="C40" s="9">
        <v>5</v>
      </c>
      <c r="D40" s="9"/>
      <c r="E40" s="9"/>
      <c r="F40" s="9" t="s">
        <v>23</v>
      </c>
      <c r="G40" s="9" t="s">
        <v>28</v>
      </c>
      <c r="H40" s="9">
        <v>5</v>
      </c>
      <c r="I40" s="24">
        <f>(1/9) * (1/8 + 1/9)</f>
        <v>2.6234567901234566E-2</v>
      </c>
      <c r="J40" s="21">
        <f t="shared" si="1"/>
        <v>2.6234567901234565</v>
      </c>
      <c r="R40" s="3"/>
      <c r="S40" s="3"/>
    </row>
    <row r="41" spans="1:19" x14ac:dyDescent="0.35">
      <c r="A41" s="9" t="s">
        <v>25</v>
      </c>
      <c r="B41" s="9" t="s">
        <v>28</v>
      </c>
      <c r="C41" s="9">
        <v>9</v>
      </c>
      <c r="D41" s="9"/>
      <c r="E41" s="9"/>
      <c r="F41" s="9" t="s">
        <v>25</v>
      </c>
      <c r="G41" s="9" t="s">
        <v>28</v>
      </c>
      <c r="H41" s="9">
        <v>15</v>
      </c>
      <c r="I41" s="24">
        <f>(1/9) * (1/9)</f>
        <v>1.2345679012345678E-2</v>
      </c>
      <c r="J41" s="21">
        <f t="shared" si="1"/>
        <v>1.2345679012345678</v>
      </c>
    </row>
    <row r="42" spans="1:19" x14ac:dyDescent="0.35">
      <c r="A42" s="9"/>
      <c r="B42" s="9"/>
      <c r="C42" s="9"/>
      <c r="D42" s="9"/>
      <c r="E42" s="9"/>
      <c r="F42" s="9"/>
      <c r="G42" s="9"/>
      <c r="H42" s="9">
        <f>SUM(H33:H41)</f>
        <v>100</v>
      </c>
      <c r="I42" s="20">
        <f>SUM(I33:I41)</f>
        <v>0.99999999999999978</v>
      </c>
      <c r="J42" s="21">
        <f>SUM(J33:J41)</f>
        <v>99.999999999999986</v>
      </c>
    </row>
    <row r="46" spans="1:19" x14ac:dyDescent="0.35">
      <c r="A46" s="9" t="s">
        <v>124</v>
      </c>
    </row>
    <row r="47" spans="1:19" x14ac:dyDescent="0.35">
      <c r="A47" s="18"/>
    </row>
    <row r="48" spans="1:19" ht="29" x14ac:dyDescent="0.35">
      <c r="A48" s="16" t="s">
        <v>44</v>
      </c>
      <c r="B48" s="16" t="s">
        <v>45</v>
      </c>
      <c r="C48" s="16" t="s">
        <v>104</v>
      </c>
      <c r="D48" s="16"/>
      <c r="E48" s="16"/>
      <c r="F48" s="16" t="s">
        <v>1</v>
      </c>
      <c r="G48" s="16"/>
      <c r="H48" s="16"/>
      <c r="I48" s="16" t="s">
        <v>50</v>
      </c>
      <c r="J48" s="16" t="s">
        <v>156</v>
      </c>
      <c r="K48" s="16" t="s">
        <v>4</v>
      </c>
      <c r="L48" s="16" t="s">
        <v>5</v>
      </c>
      <c r="M48" s="16" t="s">
        <v>33</v>
      </c>
      <c r="N48" s="16" t="s">
        <v>152</v>
      </c>
      <c r="O48" s="16" t="s">
        <v>105</v>
      </c>
      <c r="P48" s="16"/>
      <c r="Q48" s="16"/>
    </row>
    <row r="49" spans="1:18" ht="58" x14ac:dyDescent="0.35">
      <c r="A49" s="16" t="s">
        <v>125</v>
      </c>
      <c r="B49" s="12" t="s">
        <v>157</v>
      </c>
      <c r="C49" s="12" t="s">
        <v>158</v>
      </c>
      <c r="D49" s="12"/>
      <c r="E49" s="12"/>
      <c r="F49" s="12" t="s">
        <v>159</v>
      </c>
      <c r="G49" s="12"/>
      <c r="H49" s="12"/>
      <c r="I49" s="12" t="s">
        <v>160</v>
      </c>
      <c r="J49" s="12" t="s">
        <v>65</v>
      </c>
      <c r="K49" s="12" t="s">
        <v>37</v>
      </c>
      <c r="L49" s="12" t="s">
        <v>161</v>
      </c>
      <c r="M49" s="12" t="s">
        <v>134</v>
      </c>
      <c r="N49" s="12" t="s">
        <v>162</v>
      </c>
      <c r="O49" s="12" t="s">
        <v>163</v>
      </c>
      <c r="P49" s="12"/>
      <c r="Q49" s="12"/>
    </row>
    <row r="50" spans="1:18" ht="58" x14ac:dyDescent="0.35">
      <c r="A50" s="16" t="s">
        <v>126</v>
      </c>
      <c r="B50" s="12" t="s">
        <v>164</v>
      </c>
      <c r="C50" s="12" t="s">
        <v>158</v>
      </c>
      <c r="D50" s="12"/>
      <c r="E50" s="12"/>
      <c r="F50" s="12" t="s">
        <v>159</v>
      </c>
      <c r="G50" s="12"/>
      <c r="H50" s="12"/>
      <c r="I50" s="12" t="s">
        <v>165</v>
      </c>
      <c r="J50" s="12" t="s">
        <v>65</v>
      </c>
      <c r="K50" s="12" t="s">
        <v>166</v>
      </c>
      <c r="L50" s="12" t="s">
        <v>167</v>
      </c>
      <c r="M50" s="12" t="s">
        <v>168</v>
      </c>
      <c r="N50" s="12" t="s">
        <v>162</v>
      </c>
      <c r="O50" s="12" t="s">
        <v>163</v>
      </c>
      <c r="P50" s="12"/>
      <c r="Q50" s="12"/>
    </row>
    <row r="51" spans="1:18" ht="58" x14ac:dyDescent="0.35">
      <c r="A51" s="16" t="s">
        <v>127</v>
      </c>
      <c r="B51" s="12" t="s">
        <v>169</v>
      </c>
      <c r="C51" s="12" t="s">
        <v>170</v>
      </c>
      <c r="D51" s="12"/>
      <c r="E51" s="12"/>
      <c r="F51" s="12" t="s">
        <v>159</v>
      </c>
      <c r="G51" s="12"/>
      <c r="H51" s="12"/>
      <c r="I51" s="12" t="s">
        <v>171</v>
      </c>
      <c r="J51" s="12" t="s">
        <v>65</v>
      </c>
      <c r="K51" s="12" t="s">
        <v>166</v>
      </c>
      <c r="L51" s="12" t="s">
        <v>172</v>
      </c>
      <c r="M51" s="12" t="s">
        <v>168</v>
      </c>
      <c r="N51" s="12" t="s">
        <v>162</v>
      </c>
      <c r="O51" s="12" t="s">
        <v>173</v>
      </c>
      <c r="P51" s="12"/>
      <c r="Q51" s="12"/>
    </row>
    <row r="52" spans="1:18" ht="43.5" x14ac:dyDescent="0.35">
      <c r="A52" s="16" t="s">
        <v>174</v>
      </c>
      <c r="B52" s="12" t="s">
        <v>175</v>
      </c>
      <c r="C52" s="12" t="s">
        <v>170</v>
      </c>
      <c r="D52" s="12"/>
      <c r="E52" s="12"/>
      <c r="F52" s="12" t="s">
        <v>176</v>
      </c>
      <c r="G52" s="12"/>
      <c r="H52" s="12"/>
      <c r="I52" s="12" t="s">
        <v>177</v>
      </c>
      <c r="J52" s="12" t="s">
        <v>65</v>
      </c>
      <c r="K52" s="12" t="s">
        <v>178</v>
      </c>
      <c r="L52" s="12" t="s">
        <v>172</v>
      </c>
      <c r="M52" s="12" t="s">
        <v>168</v>
      </c>
      <c r="N52" s="12" t="s">
        <v>179</v>
      </c>
      <c r="O52" s="12" t="s">
        <v>163</v>
      </c>
    </row>
    <row r="53" spans="1:18" ht="43.5" x14ac:dyDescent="0.35">
      <c r="A53" s="16" t="s">
        <v>180</v>
      </c>
      <c r="B53" s="12" t="s">
        <v>181</v>
      </c>
      <c r="C53" s="12" t="s">
        <v>158</v>
      </c>
      <c r="D53" s="12"/>
      <c r="E53" s="12"/>
      <c r="F53" s="12" t="s">
        <v>182</v>
      </c>
      <c r="G53" s="12"/>
      <c r="H53" s="12"/>
      <c r="I53" s="12" t="s">
        <v>183</v>
      </c>
      <c r="J53" s="12" t="s">
        <v>65</v>
      </c>
      <c r="K53" s="12" t="s">
        <v>37</v>
      </c>
      <c r="L53" s="12" t="s">
        <v>167</v>
      </c>
      <c r="M53" s="12" t="s">
        <v>168</v>
      </c>
      <c r="N53" s="12" t="s">
        <v>162</v>
      </c>
      <c r="O53" s="12" t="s">
        <v>184</v>
      </c>
    </row>
    <row r="54" spans="1:18" ht="43.5" x14ac:dyDescent="0.35">
      <c r="A54" s="16" t="s">
        <v>185</v>
      </c>
      <c r="B54" s="12" t="s">
        <v>186</v>
      </c>
      <c r="C54" s="12" t="s">
        <v>158</v>
      </c>
      <c r="D54" s="12"/>
      <c r="E54" s="12"/>
      <c r="F54" s="12" t="s">
        <v>182</v>
      </c>
      <c r="G54" s="12"/>
      <c r="H54" s="12"/>
      <c r="I54" s="12" t="s">
        <v>177</v>
      </c>
      <c r="J54" s="12" t="s">
        <v>65</v>
      </c>
      <c r="K54" s="12" t="s">
        <v>166</v>
      </c>
      <c r="L54" s="12" t="s">
        <v>167</v>
      </c>
      <c r="M54" s="12" t="s">
        <v>168</v>
      </c>
      <c r="N54" s="12" t="s">
        <v>162</v>
      </c>
      <c r="O54" s="12" t="s">
        <v>173</v>
      </c>
    </row>
    <row r="56" spans="1:18" x14ac:dyDescent="0.35">
      <c r="A56" s="9" t="s">
        <v>107</v>
      </c>
      <c r="B56" s="9" t="s">
        <v>128</v>
      </c>
      <c r="C56" s="9" t="s">
        <v>17</v>
      </c>
      <c r="D56" s="9"/>
      <c r="E56" s="9"/>
      <c r="F56" s="9" t="s">
        <v>18</v>
      </c>
      <c r="G56" s="9"/>
      <c r="H56" s="9"/>
      <c r="I56" s="9" t="s">
        <v>19</v>
      </c>
      <c r="J56" s="9" t="s">
        <v>20</v>
      </c>
      <c r="K56" s="9" t="s">
        <v>21</v>
      </c>
      <c r="L56" s="9" t="s">
        <v>22</v>
      </c>
      <c r="M56" s="9" t="s">
        <v>23</v>
      </c>
      <c r="N56" s="9" t="s">
        <v>24</v>
      </c>
      <c r="O56" s="9" t="s">
        <v>25</v>
      </c>
      <c r="Q56" s="9"/>
      <c r="R56" s="9"/>
    </row>
    <row r="57" spans="1:18" ht="58" x14ac:dyDescent="0.35">
      <c r="A57" s="9" t="s">
        <v>125</v>
      </c>
      <c r="B57" s="7" t="s">
        <v>157</v>
      </c>
      <c r="C57" s="7" t="s">
        <v>163</v>
      </c>
      <c r="D57" s="7"/>
      <c r="E57" s="7"/>
      <c r="F57" s="7" t="s">
        <v>158</v>
      </c>
      <c r="G57" s="7"/>
      <c r="H57" s="7"/>
      <c r="I57" s="7" t="s">
        <v>159</v>
      </c>
      <c r="J57" s="7" t="s">
        <v>160</v>
      </c>
      <c r="K57" s="7" t="s">
        <v>37</v>
      </c>
      <c r="L57" s="7" t="s">
        <v>65</v>
      </c>
      <c r="M57" s="7" t="s">
        <v>161</v>
      </c>
      <c r="N57" s="7" t="s">
        <v>134</v>
      </c>
      <c r="O57" s="7" t="s">
        <v>162</v>
      </c>
      <c r="Q57" s="9"/>
      <c r="R57" s="17"/>
    </row>
    <row r="58" spans="1:18" ht="58" x14ac:dyDescent="0.35">
      <c r="A58" s="9" t="s">
        <v>126</v>
      </c>
      <c r="B58" s="7" t="s">
        <v>164</v>
      </c>
      <c r="C58" s="7" t="s">
        <v>163</v>
      </c>
      <c r="D58" s="7"/>
      <c r="E58" s="7"/>
      <c r="F58" s="7" t="s">
        <v>158</v>
      </c>
      <c r="G58" s="7"/>
      <c r="H58" s="7"/>
      <c r="I58" s="7" t="s">
        <v>159</v>
      </c>
      <c r="J58" s="7" t="s">
        <v>165</v>
      </c>
      <c r="K58" s="7" t="s">
        <v>166</v>
      </c>
      <c r="L58" s="7" t="s">
        <v>65</v>
      </c>
      <c r="M58" s="7" t="s">
        <v>167</v>
      </c>
      <c r="N58" s="7" t="s">
        <v>168</v>
      </c>
      <c r="O58" s="7" t="s">
        <v>162</v>
      </c>
      <c r="Q58" s="9"/>
      <c r="R58" s="17"/>
    </row>
    <row r="59" spans="1:18" ht="58" x14ac:dyDescent="0.35">
      <c r="A59" s="9" t="s">
        <v>127</v>
      </c>
      <c r="B59" s="7" t="s">
        <v>169</v>
      </c>
      <c r="C59" s="7" t="s">
        <v>173</v>
      </c>
      <c r="D59" s="7"/>
      <c r="E59" s="7"/>
      <c r="F59" s="7" t="s">
        <v>170</v>
      </c>
      <c r="G59" s="7"/>
      <c r="H59" s="7"/>
      <c r="I59" s="7" t="s">
        <v>159</v>
      </c>
      <c r="J59" s="7" t="s">
        <v>171</v>
      </c>
      <c r="K59" s="7" t="s">
        <v>166</v>
      </c>
      <c r="L59" s="7" t="s">
        <v>65</v>
      </c>
      <c r="M59" s="7" t="s">
        <v>172</v>
      </c>
      <c r="N59" s="7" t="s">
        <v>168</v>
      </c>
      <c r="O59" s="7" t="s">
        <v>162</v>
      </c>
      <c r="Q59" s="9"/>
      <c r="R59" s="17"/>
    </row>
    <row r="60" spans="1:18" ht="43.5" x14ac:dyDescent="0.35">
      <c r="A60" s="9" t="s">
        <v>174</v>
      </c>
      <c r="B60" s="7" t="s">
        <v>175</v>
      </c>
      <c r="C60" s="7" t="s">
        <v>163</v>
      </c>
      <c r="D60" s="7"/>
      <c r="E60" s="7"/>
      <c r="F60" s="7" t="s">
        <v>170</v>
      </c>
      <c r="G60" s="7"/>
      <c r="H60" s="7"/>
      <c r="I60" s="7" t="s">
        <v>176</v>
      </c>
      <c r="J60" s="7" t="s">
        <v>177</v>
      </c>
      <c r="K60" s="7" t="s">
        <v>178</v>
      </c>
      <c r="L60" s="7" t="s">
        <v>65</v>
      </c>
      <c r="M60" s="7" t="s">
        <v>172</v>
      </c>
      <c r="N60" s="7" t="s">
        <v>168</v>
      </c>
      <c r="O60" s="7" t="s">
        <v>179</v>
      </c>
      <c r="Q60" s="9"/>
      <c r="R60" s="17"/>
    </row>
    <row r="61" spans="1:18" ht="43.5" x14ac:dyDescent="0.35">
      <c r="A61" s="9" t="s">
        <v>180</v>
      </c>
      <c r="B61" s="7" t="s">
        <v>181</v>
      </c>
      <c r="C61" s="7" t="s">
        <v>184</v>
      </c>
      <c r="D61" s="7"/>
      <c r="E61" s="7"/>
      <c r="F61" s="7" t="s">
        <v>158</v>
      </c>
      <c r="G61" s="7"/>
      <c r="H61" s="7"/>
      <c r="I61" s="7" t="s">
        <v>182</v>
      </c>
      <c r="J61" s="7" t="s">
        <v>183</v>
      </c>
      <c r="K61" s="7" t="s">
        <v>37</v>
      </c>
      <c r="L61" s="7" t="s">
        <v>65</v>
      </c>
      <c r="M61" s="7" t="s">
        <v>167</v>
      </c>
      <c r="N61" s="7" t="s">
        <v>168</v>
      </c>
      <c r="O61" s="7" t="s">
        <v>162</v>
      </c>
      <c r="Q61" s="9"/>
      <c r="R61" s="17"/>
    </row>
    <row r="62" spans="1:18" ht="43.5" x14ac:dyDescent="0.35">
      <c r="A62" s="9" t="s">
        <v>185</v>
      </c>
      <c r="B62" s="7" t="s">
        <v>186</v>
      </c>
      <c r="C62" s="7" t="s">
        <v>173</v>
      </c>
      <c r="D62" s="7"/>
      <c r="E62" s="7"/>
      <c r="F62" s="7" t="s">
        <v>158</v>
      </c>
      <c r="G62" s="7"/>
      <c r="H62" s="7"/>
      <c r="I62" s="7" t="s">
        <v>182</v>
      </c>
      <c r="J62" s="7" t="s">
        <v>177</v>
      </c>
      <c r="K62" s="7" t="s">
        <v>166</v>
      </c>
      <c r="L62" s="7" t="s">
        <v>65</v>
      </c>
      <c r="M62" s="7" t="s">
        <v>167</v>
      </c>
      <c r="N62" s="7" t="s">
        <v>168</v>
      </c>
      <c r="O62" s="7" t="s">
        <v>162</v>
      </c>
      <c r="Q62" s="9"/>
      <c r="R62" s="17"/>
    </row>
    <row r="63" spans="1:18" x14ac:dyDescent="0.35">
      <c r="Q63" s="9"/>
      <c r="R63" s="17"/>
    </row>
    <row r="64" spans="1:18" x14ac:dyDescent="0.35">
      <c r="A64" t="s">
        <v>135</v>
      </c>
      <c r="Q64" s="9"/>
      <c r="R64" s="17"/>
    </row>
    <row r="65" spans="1:18" x14ac:dyDescent="0.35">
      <c r="Q65" s="9"/>
      <c r="R65" s="17"/>
    </row>
    <row r="66" spans="1:18" x14ac:dyDescent="0.35">
      <c r="A66" s="9" t="s">
        <v>136</v>
      </c>
      <c r="B66" s="9" t="s">
        <v>17</v>
      </c>
      <c r="C66" s="9" t="s">
        <v>18</v>
      </c>
      <c r="D66" s="9"/>
      <c r="E66" s="9"/>
      <c r="F66" s="9" t="s">
        <v>19</v>
      </c>
      <c r="G66" s="9"/>
      <c r="H66" s="9"/>
      <c r="I66" s="9" t="s">
        <v>20</v>
      </c>
      <c r="J66" s="9" t="s">
        <v>21</v>
      </c>
      <c r="K66" s="9" t="s">
        <v>22</v>
      </c>
      <c r="L66" s="9" t="s">
        <v>23</v>
      </c>
      <c r="M66" s="9" t="s">
        <v>24</v>
      </c>
      <c r="N66" s="9" t="s">
        <v>25</v>
      </c>
      <c r="O66" s="9"/>
    </row>
    <row r="67" spans="1:18" x14ac:dyDescent="0.35">
      <c r="A67" s="9" t="s">
        <v>125</v>
      </c>
      <c r="B67" s="9">
        <v>1</v>
      </c>
      <c r="C67" s="9">
        <v>2</v>
      </c>
      <c r="D67" s="9"/>
      <c r="E67" s="9"/>
      <c r="F67" s="9">
        <v>4</v>
      </c>
      <c r="G67" s="9"/>
      <c r="H67" s="9"/>
      <c r="I67" s="9">
        <v>4</v>
      </c>
      <c r="J67" s="9">
        <v>3</v>
      </c>
      <c r="K67" s="9">
        <v>2</v>
      </c>
      <c r="L67" s="9">
        <v>4</v>
      </c>
      <c r="M67" s="9">
        <v>3</v>
      </c>
      <c r="N67" s="9">
        <v>2</v>
      </c>
      <c r="O67" s="9"/>
    </row>
    <row r="68" spans="1:18" x14ac:dyDescent="0.35">
      <c r="A68" s="9" t="s">
        <v>126</v>
      </c>
      <c r="B68" s="9">
        <v>1</v>
      </c>
      <c r="C68" s="9">
        <v>2</v>
      </c>
      <c r="D68" s="9"/>
      <c r="E68" s="9"/>
      <c r="F68" s="9">
        <v>4</v>
      </c>
      <c r="G68" s="9"/>
      <c r="H68" s="9"/>
      <c r="I68" s="9">
        <v>4</v>
      </c>
      <c r="J68" s="9">
        <v>4</v>
      </c>
      <c r="K68" s="9">
        <v>2</v>
      </c>
      <c r="L68" s="9">
        <v>1</v>
      </c>
      <c r="M68" s="9">
        <v>7</v>
      </c>
      <c r="N68" s="9">
        <v>2</v>
      </c>
      <c r="O68" s="9"/>
    </row>
    <row r="69" spans="1:18" x14ac:dyDescent="0.35">
      <c r="A69" s="9" t="s">
        <v>127</v>
      </c>
      <c r="B69" s="9">
        <v>3</v>
      </c>
      <c r="C69" s="9">
        <v>1</v>
      </c>
      <c r="D69" s="9"/>
      <c r="E69" s="9"/>
      <c r="F69" s="9">
        <v>4</v>
      </c>
      <c r="G69" s="9"/>
      <c r="H69" s="9"/>
      <c r="I69" s="9">
        <v>3</v>
      </c>
      <c r="J69" s="9">
        <v>4</v>
      </c>
      <c r="K69" s="9">
        <v>2</v>
      </c>
      <c r="L69" s="9">
        <v>2</v>
      </c>
      <c r="M69" s="9">
        <v>7</v>
      </c>
      <c r="N69" s="9">
        <v>2</v>
      </c>
      <c r="O69" s="9"/>
    </row>
    <row r="70" spans="1:18" x14ac:dyDescent="0.35">
      <c r="A70" s="9" t="s">
        <v>174</v>
      </c>
      <c r="B70" s="9">
        <v>1</v>
      </c>
      <c r="C70" s="9">
        <v>1</v>
      </c>
      <c r="D70" s="9"/>
      <c r="E70" s="9"/>
      <c r="F70" s="9">
        <v>3</v>
      </c>
      <c r="G70" s="9"/>
      <c r="H70" s="9"/>
      <c r="I70" s="9">
        <v>4</v>
      </c>
      <c r="J70" s="9">
        <v>1</v>
      </c>
      <c r="K70" s="9">
        <v>2</v>
      </c>
      <c r="L70" s="9">
        <v>2</v>
      </c>
      <c r="M70" s="9">
        <v>7</v>
      </c>
      <c r="N70" s="9">
        <v>3</v>
      </c>
      <c r="O70" s="9"/>
    </row>
    <row r="71" spans="1:18" x14ac:dyDescent="0.35">
      <c r="A71" s="9" t="s">
        <v>180</v>
      </c>
      <c r="B71" s="9">
        <v>2</v>
      </c>
      <c r="C71" s="9">
        <v>2</v>
      </c>
      <c r="D71" s="9"/>
      <c r="E71" s="9"/>
      <c r="F71" s="9">
        <v>3</v>
      </c>
      <c r="G71" s="9"/>
      <c r="H71" s="9"/>
      <c r="I71" s="9">
        <v>3</v>
      </c>
      <c r="J71" s="9">
        <v>3</v>
      </c>
      <c r="K71" s="9">
        <v>2</v>
      </c>
      <c r="L71" s="9">
        <v>1</v>
      </c>
      <c r="M71" s="9">
        <v>7</v>
      </c>
      <c r="N71" s="9">
        <v>2</v>
      </c>
      <c r="O71" s="9"/>
    </row>
    <row r="72" spans="1:18" x14ac:dyDescent="0.35">
      <c r="A72" s="9" t="s">
        <v>185</v>
      </c>
      <c r="B72" s="9">
        <v>3</v>
      </c>
      <c r="C72" s="9">
        <v>2</v>
      </c>
      <c r="D72" s="9"/>
      <c r="E72" s="9"/>
      <c r="F72" s="9">
        <v>3</v>
      </c>
      <c r="G72" s="9"/>
      <c r="H72" s="9"/>
      <c r="I72" s="9">
        <v>3</v>
      </c>
      <c r="J72" s="9">
        <v>4</v>
      </c>
      <c r="K72" s="9">
        <v>2</v>
      </c>
      <c r="L72" s="9">
        <v>1</v>
      </c>
      <c r="M72" s="9">
        <v>7</v>
      </c>
      <c r="N72" s="9">
        <v>2</v>
      </c>
      <c r="O72" s="9"/>
    </row>
    <row r="73" spans="1:18" x14ac:dyDescent="0.35">
      <c r="N73" s="9"/>
    </row>
    <row r="74" spans="1:18" x14ac:dyDescent="0.35">
      <c r="A74" s="18" t="s">
        <v>137</v>
      </c>
    </row>
    <row r="77" spans="1:18" x14ac:dyDescent="0.35">
      <c r="A77" t="s">
        <v>138</v>
      </c>
      <c r="I77" t="s">
        <v>217</v>
      </c>
      <c r="N77" t="s">
        <v>140</v>
      </c>
    </row>
    <row r="78" spans="1:18" x14ac:dyDescent="0.35">
      <c r="A78" t="s">
        <v>125</v>
      </c>
      <c r="B78">
        <f t="shared" ref="B78:B83" si="2">1/B67</f>
        <v>1</v>
      </c>
      <c r="I78" t="s">
        <v>125</v>
      </c>
      <c r="J78">
        <f>1/C67</f>
        <v>0.5</v>
      </c>
      <c r="N78" t="s">
        <v>125</v>
      </c>
      <c r="O78">
        <f>F67/4</f>
        <v>1</v>
      </c>
    </row>
    <row r="79" spans="1:18" x14ac:dyDescent="0.35">
      <c r="A79" t="s">
        <v>126</v>
      </c>
      <c r="B79">
        <f t="shared" si="2"/>
        <v>1</v>
      </c>
      <c r="I79" t="s">
        <v>126</v>
      </c>
      <c r="J79">
        <f t="shared" ref="J79:J83" si="3">1/C68</f>
        <v>0.5</v>
      </c>
      <c r="N79" t="s">
        <v>126</v>
      </c>
      <c r="O79">
        <f t="shared" ref="O79:O83" si="4">F68/4</f>
        <v>1</v>
      </c>
    </row>
    <row r="80" spans="1:18" x14ac:dyDescent="0.35">
      <c r="A80" t="s">
        <v>127</v>
      </c>
      <c r="B80" s="19">
        <f t="shared" si="2"/>
        <v>0.33333333333333331</v>
      </c>
      <c r="I80" t="s">
        <v>127</v>
      </c>
      <c r="J80">
        <f>1/C69</f>
        <v>1</v>
      </c>
      <c r="N80" t="s">
        <v>127</v>
      </c>
      <c r="O80">
        <f>F69/4</f>
        <v>1</v>
      </c>
    </row>
    <row r="81" spans="1:15" x14ac:dyDescent="0.35">
      <c r="A81" t="s">
        <v>174</v>
      </c>
      <c r="B81">
        <f t="shared" si="2"/>
        <v>1</v>
      </c>
      <c r="I81" t="s">
        <v>174</v>
      </c>
      <c r="J81">
        <f t="shared" si="3"/>
        <v>1</v>
      </c>
      <c r="N81" t="s">
        <v>174</v>
      </c>
      <c r="O81">
        <f>F70/4</f>
        <v>0.75</v>
      </c>
    </row>
    <row r="82" spans="1:15" x14ac:dyDescent="0.35">
      <c r="A82" t="s">
        <v>180</v>
      </c>
      <c r="B82">
        <f t="shared" si="2"/>
        <v>0.5</v>
      </c>
      <c r="I82" t="s">
        <v>180</v>
      </c>
      <c r="J82">
        <f t="shared" si="3"/>
        <v>0.5</v>
      </c>
      <c r="N82" t="s">
        <v>180</v>
      </c>
      <c r="O82">
        <f t="shared" si="4"/>
        <v>0.75</v>
      </c>
    </row>
    <row r="83" spans="1:15" x14ac:dyDescent="0.35">
      <c r="A83" t="s">
        <v>185</v>
      </c>
      <c r="B83" s="19">
        <f t="shared" si="2"/>
        <v>0.33333333333333331</v>
      </c>
      <c r="I83" t="s">
        <v>185</v>
      </c>
      <c r="J83">
        <f t="shared" si="3"/>
        <v>0.5</v>
      </c>
      <c r="N83" t="s">
        <v>185</v>
      </c>
      <c r="O83">
        <f t="shared" si="4"/>
        <v>0.75</v>
      </c>
    </row>
    <row r="85" spans="1:15" x14ac:dyDescent="0.35">
      <c r="A85" t="s">
        <v>221</v>
      </c>
      <c r="I85" t="s">
        <v>141</v>
      </c>
      <c r="N85" t="s">
        <v>222</v>
      </c>
    </row>
    <row r="86" spans="1:15" x14ac:dyDescent="0.35">
      <c r="A86" t="s">
        <v>125</v>
      </c>
      <c r="B86">
        <f>I67/4</f>
        <v>1</v>
      </c>
      <c r="I86" t="s">
        <v>125</v>
      </c>
      <c r="J86">
        <f>J67/4</f>
        <v>0.75</v>
      </c>
      <c r="N86" t="s">
        <v>125</v>
      </c>
      <c r="O86">
        <f>K67/3</f>
        <v>0.66666666666666663</v>
      </c>
    </row>
    <row r="87" spans="1:15" x14ac:dyDescent="0.35">
      <c r="A87" t="s">
        <v>126</v>
      </c>
      <c r="B87">
        <f>I68/4</f>
        <v>1</v>
      </c>
      <c r="I87" t="s">
        <v>126</v>
      </c>
      <c r="J87">
        <f>J68/4</f>
        <v>1</v>
      </c>
      <c r="N87" t="s">
        <v>126</v>
      </c>
      <c r="O87">
        <f t="shared" ref="O87:O91" si="5">K68/3</f>
        <v>0.66666666666666663</v>
      </c>
    </row>
    <row r="88" spans="1:15" x14ac:dyDescent="0.35">
      <c r="A88" t="s">
        <v>127</v>
      </c>
      <c r="B88">
        <f>I69/4</f>
        <v>0.75</v>
      </c>
      <c r="I88" t="s">
        <v>127</v>
      </c>
      <c r="J88">
        <f t="shared" ref="J88:J91" si="6">J69/4</f>
        <v>1</v>
      </c>
      <c r="N88" t="s">
        <v>127</v>
      </c>
      <c r="O88">
        <f t="shared" si="5"/>
        <v>0.66666666666666663</v>
      </c>
    </row>
    <row r="89" spans="1:15" x14ac:dyDescent="0.35">
      <c r="A89" t="s">
        <v>174</v>
      </c>
      <c r="B89">
        <f>I70/4</f>
        <v>1</v>
      </c>
      <c r="I89" t="s">
        <v>174</v>
      </c>
      <c r="J89">
        <f>J70/4</f>
        <v>0.25</v>
      </c>
      <c r="N89" t="s">
        <v>174</v>
      </c>
      <c r="O89">
        <f t="shared" si="5"/>
        <v>0.66666666666666663</v>
      </c>
    </row>
    <row r="90" spans="1:15" x14ac:dyDescent="0.35">
      <c r="A90" t="s">
        <v>180</v>
      </c>
      <c r="B90">
        <f>I71/4</f>
        <v>0.75</v>
      </c>
      <c r="I90" t="s">
        <v>180</v>
      </c>
      <c r="J90">
        <f>J71/4</f>
        <v>0.75</v>
      </c>
      <c r="N90" t="s">
        <v>180</v>
      </c>
      <c r="O90">
        <f t="shared" si="5"/>
        <v>0.66666666666666663</v>
      </c>
    </row>
    <row r="91" spans="1:15" x14ac:dyDescent="0.35">
      <c r="A91" t="s">
        <v>185</v>
      </c>
      <c r="B91">
        <f t="shared" ref="B91" si="7">I72/4</f>
        <v>0.75</v>
      </c>
      <c r="I91" t="s">
        <v>185</v>
      </c>
      <c r="J91">
        <f t="shared" si="6"/>
        <v>1</v>
      </c>
      <c r="N91" t="s">
        <v>185</v>
      </c>
      <c r="O91">
        <f t="shared" si="5"/>
        <v>0.66666666666666663</v>
      </c>
    </row>
    <row r="93" spans="1:15" x14ac:dyDescent="0.35">
      <c r="A93" t="s">
        <v>218</v>
      </c>
      <c r="I93" t="s">
        <v>144</v>
      </c>
      <c r="N93" t="s">
        <v>219</v>
      </c>
    </row>
    <row r="94" spans="1:15" x14ac:dyDescent="0.35">
      <c r="A94" t="s">
        <v>125</v>
      </c>
      <c r="B94">
        <f>1/L67</f>
        <v>0.25</v>
      </c>
      <c r="I94" t="s">
        <v>125</v>
      </c>
      <c r="J94" s="19">
        <f>M67/7</f>
        <v>0.42857142857142855</v>
      </c>
      <c r="K94" s="19"/>
      <c r="N94" t="s">
        <v>125</v>
      </c>
      <c r="O94" s="22">
        <f>2/N67</f>
        <v>1</v>
      </c>
    </row>
    <row r="95" spans="1:15" x14ac:dyDescent="0.35">
      <c r="A95" t="s">
        <v>126</v>
      </c>
      <c r="B95">
        <f>1/L68</f>
        <v>1</v>
      </c>
      <c r="I95" t="s">
        <v>126</v>
      </c>
      <c r="J95" s="22">
        <f>M68/7</f>
        <v>1</v>
      </c>
      <c r="K95" s="19"/>
      <c r="N95" t="s">
        <v>126</v>
      </c>
      <c r="O95" s="22">
        <f>2/N68</f>
        <v>1</v>
      </c>
    </row>
    <row r="96" spans="1:15" x14ac:dyDescent="0.35">
      <c r="A96" t="s">
        <v>127</v>
      </c>
      <c r="B96">
        <f>1/L69</f>
        <v>0.5</v>
      </c>
      <c r="I96" t="s">
        <v>127</v>
      </c>
      <c r="J96" s="22">
        <f t="shared" ref="J96:J99" si="8">M69/7</f>
        <v>1</v>
      </c>
      <c r="N96" t="s">
        <v>127</v>
      </c>
      <c r="O96" s="22">
        <f t="shared" ref="O96" si="9">2/N69</f>
        <v>1</v>
      </c>
    </row>
    <row r="97" spans="1:16" x14ac:dyDescent="0.35">
      <c r="A97" t="s">
        <v>174</v>
      </c>
      <c r="B97">
        <f>1/L70</f>
        <v>0.5</v>
      </c>
      <c r="I97" t="s">
        <v>174</v>
      </c>
      <c r="J97" s="22">
        <f t="shared" si="8"/>
        <v>1</v>
      </c>
      <c r="N97" t="s">
        <v>174</v>
      </c>
      <c r="O97" s="19">
        <f>2/N70</f>
        <v>0.66666666666666663</v>
      </c>
    </row>
    <row r="98" spans="1:16" x14ac:dyDescent="0.35">
      <c r="A98" t="s">
        <v>180</v>
      </c>
      <c r="B98">
        <f>1/L71</f>
        <v>1</v>
      </c>
      <c r="I98" t="s">
        <v>180</v>
      </c>
      <c r="J98" s="22">
        <f t="shared" si="8"/>
        <v>1</v>
      </c>
      <c r="N98" t="s">
        <v>180</v>
      </c>
      <c r="O98" s="22">
        <f t="shared" ref="O98:O99" si="10">2/N71</f>
        <v>1</v>
      </c>
    </row>
    <row r="99" spans="1:16" x14ac:dyDescent="0.35">
      <c r="A99" t="s">
        <v>185</v>
      </c>
      <c r="B99">
        <f t="shared" ref="B99" si="11">1/L72</f>
        <v>1</v>
      </c>
      <c r="I99" t="s">
        <v>185</v>
      </c>
      <c r="J99" s="22">
        <f t="shared" si="8"/>
        <v>1</v>
      </c>
      <c r="N99" t="s">
        <v>185</v>
      </c>
      <c r="O99" s="22">
        <f t="shared" si="10"/>
        <v>1</v>
      </c>
    </row>
    <row r="100" spans="1:16" x14ac:dyDescent="0.35">
      <c r="J100" s="19"/>
      <c r="O100" s="19"/>
    </row>
    <row r="101" spans="1:16" x14ac:dyDescent="0.35">
      <c r="A101" t="s">
        <v>145</v>
      </c>
    </row>
    <row r="103" spans="1:16" x14ac:dyDescent="0.35">
      <c r="A103" s="9" t="s">
        <v>136</v>
      </c>
      <c r="B103" s="9" t="s">
        <v>17</v>
      </c>
      <c r="C103" s="9" t="s">
        <v>18</v>
      </c>
      <c r="D103" s="9"/>
      <c r="E103" s="9"/>
      <c r="F103" s="9" t="s">
        <v>19</v>
      </c>
      <c r="G103" s="9"/>
      <c r="H103" s="9"/>
      <c r="I103" s="9" t="s">
        <v>20</v>
      </c>
      <c r="J103" s="9" t="s">
        <v>21</v>
      </c>
      <c r="K103" s="9" t="s">
        <v>22</v>
      </c>
      <c r="L103" s="9" t="s">
        <v>23</v>
      </c>
      <c r="M103" s="9" t="s">
        <v>24</v>
      </c>
      <c r="N103" s="9" t="s">
        <v>25</v>
      </c>
      <c r="P103" s="9"/>
    </row>
    <row r="104" spans="1:16" x14ac:dyDescent="0.35">
      <c r="A104" s="9" t="s">
        <v>125</v>
      </c>
      <c r="B104" s="9">
        <f>B78</f>
        <v>1</v>
      </c>
      <c r="C104" s="9">
        <f>J78</f>
        <v>0.5</v>
      </c>
      <c r="D104" s="9"/>
      <c r="E104" s="9"/>
      <c r="F104" s="9">
        <f>O78</f>
        <v>1</v>
      </c>
      <c r="G104" s="9"/>
      <c r="H104" s="9"/>
      <c r="I104" s="9">
        <f>B86</f>
        <v>1</v>
      </c>
      <c r="J104" s="9">
        <f>J86</f>
        <v>0.75</v>
      </c>
      <c r="K104" s="20">
        <f>O86</f>
        <v>0.66666666666666663</v>
      </c>
      <c r="L104" s="9">
        <f>B94</f>
        <v>0.25</v>
      </c>
      <c r="M104" s="20">
        <f>J94</f>
        <v>0.42857142857142855</v>
      </c>
      <c r="N104" s="20">
        <f>O94</f>
        <v>1</v>
      </c>
      <c r="P104" s="20"/>
    </row>
    <row r="105" spans="1:16" x14ac:dyDescent="0.35">
      <c r="A105" s="9" t="s">
        <v>126</v>
      </c>
      <c r="B105" s="9">
        <f>B79</f>
        <v>1</v>
      </c>
      <c r="C105" s="9">
        <f>J79</f>
        <v>0.5</v>
      </c>
      <c r="D105" s="9"/>
      <c r="E105" s="9"/>
      <c r="F105" s="9">
        <f>O79</f>
        <v>1</v>
      </c>
      <c r="G105" s="9"/>
      <c r="H105" s="9"/>
      <c r="I105" s="9">
        <f>B87</f>
        <v>1</v>
      </c>
      <c r="J105" s="9">
        <f>J87</f>
        <v>1</v>
      </c>
      <c r="K105" s="20">
        <f>O87</f>
        <v>0.66666666666666663</v>
      </c>
      <c r="L105" s="9">
        <f>B95</f>
        <v>1</v>
      </c>
      <c r="M105" s="20">
        <f>J95</f>
        <v>1</v>
      </c>
      <c r="N105" s="20">
        <f>O95</f>
        <v>1</v>
      </c>
      <c r="P105" s="20"/>
    </row>
    <row r="106" spans="1:16" x14ac:dyDescent="0.35">
      <c r="A106" s="9" t="s">
        <v>127</v>
      </c>
      <c r="B106" s="20">
        <f>B80</f>
        <v>0.33333333333333331</v>
      </c>
      <c r="C106" s="9">
        <f>J80</f>
        <v>1</v>
      </c>
      <c r="D106" s="9"/>
      <c r="E106" s="9"/>
      <c r="F106" s="9">
        <f>O80</f>
        <v>1</v>
      </c>
      <c r="G106" s="9"/>
      <c r="H106" s="9"/>
      <c r="I106" s="9">
        <f>B88</f>
        <v>0.75</v>
      </c>
      <c r="J106" s="9">
        <f>J88</f>
        <v>1</v>
      </c>
      <c r="K106" s="20">
        <f>O88</f>
        <v>0.66666666666666663</v>
      </c>
      <c r="L106" s="9">
        <f>B96</f>
        <v>0.5</v>
      </c>
      <c r="M106" s="9">
        <f>J96</f>
        <v>1</v>
      </c>
      <c r="N106" s="9">
        <f>O96</f>
        <v>1</v>
      </c>
      <c r="P106" s="9"/>
    </row>
    <row r="107" spans="1:16" x14ac:dyDescent="0.35">
      <c r="A107" s="9" t="s">
        <v>174</v>
      </c>
      <c r="B107" s="21">
        <f>B81</f>
        <v>1</v>
      </c>
      <c r="C107" s="9">
        <f t="shared" ref="C107:C109" si="12">J81</f>
        <v>1</v>
      </c>
      <c r="D107" s="9"/>
      <c r="E107" s="9"/>
      <c r="F107" s="9">
        <f t="shared" ref="F107:F109" si="13">O81</f>
        <v>0.75</v>
      </c>
      <c r="G107" s="9"/>
      <c r="H107" s="9"/>
      <c r="I107" s="9">
        <f t="shared" ref="I107:I109" si="14">B89</f>
        <v>1</v>
      </c>
      <c r="J107" s="9">
        <f t="shared" ref="J107:J109" si="15">J89</f>
        <v>0.25</v>
      </c>
      <c r="K107" s="20">
        <f t="shared" ref="K107:K109" si="16">O89</f>
        <v>0.66666666666666663</v>
      </c>
      <c r="L107" s="9">
        <f t="shared" ref="L107:L109" si="17">B97</f>
        <v>0.5</v>
      </c>
      <c r="M107" s="9">
        <f t="shared" ref="M107:M109" si="18">J97</f>
        <v>1</v>
      </c>
      <c r="N107" s="20">
        <f t="shared" ref="N107:N109" si="19">O97</f>
        <v>0.66666666666666663</v>
      </c>
      <c r="O107" s="9"/>
      <c r="P107" s="9"/>
    </row>
    <row r="108" spans="1:16" x14ac:dyDescent="0.35">
      <c r="A108" s="9" t="s">
        <v>180</v>
      </c>
      <c r="B108" s="20">
        <f>B82</f>
        <v>0.5</v>
      </c>
      <c r="C108" s="9">
        <f t="shared" si="12"/>
        <v>0.5</v>
      </c>
      <c r="D108" s="9"/>
      <c r="E108" s="9"/>
      <c r="F108" s="9">
        <f t="shared" si="13"/>
        <v>0.75</v>
      </c>
      <c r="G108" s="9"/>
      <c r="H108" s="9"/>
      <c r="I108" s="9">
        <f t="shared" si="14"/>
        <v>0.75</v>
      </c>
      <c r="J108" s="9">
        <f t="shared" si="15"/>
        <v>0.75</v>
      </c>
      <c r="K108" s="20">
        <f t="shared" si="16"/>
        <v>0.66666666666666663</v>
      </c>
      <c r="L108" s="9">
        <f t="shared" si="17"/>
        <v>1</v>
      </c>
      <c r="M108" s="9">
        <f t="shared" si="18"/>
        <v>1</v>
      </c>
      <c r="N108" s="9">
        <f t="shared" si="19"/>
        <v>1</v>
      </c>
    </row>
    <row r="109" spans="1:16" x14ac:dyDescent="0.35">
      <c r="A109" s="9" t="s">
        <v>185</v>
      </c>
      <c r="B109" s="20">
        <f t="shared" ref="B109" si="20">B83</f>
        <v>0.33333333333333331</v>
      </c>
      <c r="C109" s="9">
        <f t="shared" si="12"/>
        <v>0.5</v>
      </c>
      <c r="D109" s="9"/>
      <c r="E109" s="9"/>
      <c r="F109" s="9">
        <f t="shared" si="13"/>
        <v>0.75</v>
      </c>
      <c r="G109" s="9"/>
      <c r="H109" s="9"/>
      <c r="I109" s="9">
        <f t="shared" si="14"/>
        <v>0.75</v>
      </c>
      <c r="J109" s="9">
        <f t="shared" si="15"/>
        <v>1</v>
      </c>
      <c r="K109" s="20">
        <f t="shared" si="16"/>
        <v>0.66666666666666663</v>
      </c>
      <c r="L109" s="9">
        <f t="shared" si="17"/>
        <v>1</v>
      </c>
      <c r="M109" s="9">
        <f t="shared" si="18"/>
        <v>1</v>
      </c>
      <c r="N109" s="9">
        <f t="shared" si="19"/>
        <v>1</v>
      </c>
    </row>
    <row r="111" spans="1:16" x14ac:dyDescent="0.35">
      <c r="A111" t="s">
        <v>146</v>
      </c>
    </row>
    <row r="113" spans="1:18" x14ac:dyDescent="0.35">
      <c r="A113" s="9" t="s">
        <v>136</v>
      </c>
      <c r="B113" s="9" t="s">
        <v>17</v>
      </c>
      <c r="C113" s="9" t="s">
        <v>18</v>
      </c>
      <c r="D113" s="9"/>
      <c r="E113" s="9"/>
      <c r="F113" s="9" t="s">
        <v>19</v>
      </c>
      <c r="G113" s="9"/>
      <c r="H113" s="9"/>
      <c r="I113" s="9" t="s">
        <v>20</v>
      </c>
      <c r="J113" s="9" t="s">
        <v>21</v>
      </c>
      <c r="K113" s="9" t="s">
        <v>22</v>
      </c>
      <c r="L113" s="9" t="s">
        <v>23</v>
      </c>
      <c r="M113" s="9" t="s">
        <v>24</v>
      </c>
      <c r="N113" s="9" t="s">
        <v>25</v>
      </c>
      <c r="O113" s="9" t="s">
        <v>147</v>
      </c>
      <c r="P113" s="9" t="s">
        <v>148</v>
      </c>
    </row>
    <row r="114" spans="1:18" x14ac:dyDescent="0.35">
      <c r="A114" s="9" t="s">
        <v>125</v>
      </c>
      <c r="B114" s="9">
        <f>B104*C18</f>
        <v>15</v>
      </c>
      <c r="C114" s="9">
        <f>C104*C19</f>
        <v>10</v>
      </c>
      <c r="D114" s="9"/>
      <c r="E114" s="9"/>
      <c r="F114" s="9">
        <f>F104*C20</f>
        <v>15</v>
      </c>
      <c r="G114" s="9"/>
      <c r="H114" s="9"/>
      <c r="I114" s="9">
        <f>I104*C21</f>
        <v>10</v>
      </c>
      <c r="J114" s="9">
        <f>J104*C22</f>
        <v>7.5</v>
      </c>
      <c r="K114" s="20">
        <f>K104*C23</f>
        <v>3.333333333333333</v>
      </c>
      <c r="L114" s="9">
        <f>L104*C24</f>
        <v>1.25</v>
      </c>
      <c r="M114" s="20">
        <f>M104*C25</f>
        <v>2.1428571428571428</v>
      </c>
      <c r="N114" s="20">
        <f>N104*C26</f>
        <v>15</v>
      </c>
      <c r="O114" s="20">
        <f>SUM(B114:N114)</f>
        <v>79.226190476190482</v>
      </c>
      <c r="P114" s="9">
        <f t="shared" ref="P114:P119" si="21">RANK(O114, $O$114:$O$119, 0)</f>
        <v>4</v>
      </c>
    </row>
    <row r="115" spans="1:18" x14ac:dyDescent="0.35">
      <c r="A115" s="9" t="s">
        <v>126</v>
      </c>
      <c r="B115" s="9">
        <f>B105*C18</f>
        <v>15</v>
      </c>
      <c r="C115" s="9">
        <f>C105*C19</f>
        <v>10</v>
      </c>
      <c r="D115" s="9"/>
      <c r="E115" s="9"/>
      <c r="F115" s="9">
        <f>F105*C20</f>
        <v>15</v>
      </c>
      <c r="G115" s="9"/>
      <c r="H115" s="9"/>
      <c r="I115" s="9">
        <f>I105*C21</f>
        <v>10</v>
      </c>
      <c r="J115" s="9">
        <f>J105*C22</f>
        <v>10</v>
      </c>
      <c r="K115" s="20">
        <f>K105*C23</f>
        <v>3.333333333333333</v>
      </c>
      <c r="L115" s="9">
        <f>L105*C24</f>
        <v>5</v>
      </c>
      <c r="M115" s="9">
        <f>M105*C25</f>
        <v>5</v>
      </c>
      <c r="N115" s="20">
        <f>N105*C26</f>
        <v>15</v>
      </c>
      <c r="O115" s="20">
        <f>SUM(B115:N115)</f>
        <v>88.333333333333343</v>
      </c>
      <c r="P115" s="9">
        <f t="shared" si="21"/>
        <v>1</v>
      </c>
    </row>
    <row r="116" spans="1:18" x14ac:dyDescent="0.35">
      <c r="A116" s="9" t="s">
        <v>127</v>
      </c>
      <c r="B116" s="9">
        <f>B106*C18</f>
        <v>5</v>
      </c>
      <c r="C116" s="9">
        <f>C106*C19</f>
        <v>20</v>
      </c>
      <c r="D116" s="9"/>
      <c r="E116" s="9"/>
      <c r="F116" s="9">
        <f>F106*C20</f>
        <v>15</v>
      </c>
      <c r="G116" s="9"/>
      <c r="H116" s="9"/>
      <c r="I116" s="9">
        <f>I106*C21</f>
        <v>7.5</v>
      </c>
      <c r="J116" s="9">
        <f>J106*C22</f>
        <v>10</v>
      </c>
      <c r="K116" s="20">
        <f>K106*C23</f>
        <v>3.333333333333333</v>
      </c>
      <c r="L116" s="9">
        <f>L106*C24</f>
        <v>2.5</v>
      </c>
      <c r="M116" s="9">
        <f>M106*C25</f>
        <v>5</v>
      </c>
      <c r="N116" s="9">
        <f>N106*C26</f>
        <v>15</v>
      </c>
      <c r="O116" s="20">
        <f>SUM(B116:N116)</f>
        <v>83.333333333333343</v>
      </c>
      <c r="P116" s="9">
        <f t="shared" si="21"/>
        <v>2</v>
      </c>
    </row>
    <row r="117" spans="1:18" x14ac:dyDescent="0.35">
      <c r="A117" s="9" t="s">
        <v>174</v>
      </c>
      <c r="B117" s="9">
        <f>B107*C18</f>
        <v>15</v>
      </c>
      <c r="C117" s="9">
        <f>C107*C19</f>
        <v>20</v>
      </c>
      <c r="D117" s="9"/>
      <c r="E117" s="9"/>
      <c r="F117" s="9">
        <f>F107*C20</f>
        <v>11.25</v>
      </c>
      <c r="G117" s="9"/>
      <c r="H117" s="9"/>
      <c r="I117" s="9">
        <f>I107*C21</f>
        <v>10</v>
      </c>
      <c r="J117" s="9">
        <f>J107*C22</f>
        <v>2.5</v>
      </c>
      <c r="K117" s="20">
        <f>K107*C23</f>
        <v>3.333333333333333</v>
      </c>
      <c r="L117" s="9">
        <f>L107*C24</f>
        <v>2.5</v>
      </c>
      <c r="M117" s="9">
        <f>M107*C25</f>
        <v>5</v>
      </c>
      <c r="N117" s="20">
        <f>N107*C26</f>
        <v>10</v>
      </c>
      <c r="O117" s="20">
        <f t="shared" ref="O117:O119" si="22">SUM(B117:N117)</f>
        <v>79.583333333333343</v>
      </c>
      <c r="P117" s="9">
        <f t="shared" si="21"/>
        <v>3</v>
      </c>
      <c r="R117" s="9"/>
    </row>
    <row r="118" spans="1:18" x14ac:dyDescent="0.35">
      <c r="A118" s="9" t="s">
        <v>180</v>
      </c>
      <c r="B118" s="9">
        <f>B108*C18</f>
        <v>7.5</v>
      </c>
      <c r="C118" s="9">
        <f>C108*C19</f>
        <v>10</v>
      </c>
      <c r="D118" s="9"/>
      <c r="E118" s="9"/>
      <c r="F118" s="9">
        <f>F108*C20</f>
        <v>11.25</v>
      </c>
      <c r="G118" s="9"/>
      <c r="H118" s="9"/>
      <c r="I118" s="9">
        <f>I108*C21</f>
        <v>7.5</v>
      </c>
      <c r="J118" s="9">
        <f>J108*C22</f>
        <v>7.5</v>
      </c>
      <c r="K118" s="20">
        <f>K108*C23</f>
        <v>3.333333333333333</v>
      </c>
      <c r="L118" s="9">
        <f>L108*C24</f>
        <v>5</v>
      </c>
      <c r="M118" s="9">
        <f>M108*C25</f>
        <v>5</v>
      </c>
      <c r="N118" s="9">
        <f>N108*C26</f>
        <v>15</v>
      </c>
      <c r="O118" s="20">
        <f t="shared" si="22"/>
        <v>72.083333333333343</v>
      </c>
      <c r="P118" s="9">
        <f>RANK(O118, $O$114:$O$119, 0)</f>
        <v>5</v>
      </c>
    </row>
    <row r="119" spans="1:18" x14ac:dyDescent="0.35">
      <c r="A119" s="9" t="s">
        <v>185</v>
      </c>
      <c r="B119" s="9">
        <f>B109*C18</f>
        <v>5</v>
      </c>
      <c r="C119" s="9">
        <f>C109*19</f>
        <v>9.5</v>
      </c>
      <c r="D119" s="9"/>
      <c r="E119" s="9"/>
      <c r="F119" s="9">
        <f>F109*C20</f>
        <v>11.25</v>
      </c>
      <c r="G119" s="9"/>
      <c r="H119" s="9"/>
      <c r="I119" s="9">
        <f>I109*C21</f>
        <v>7.5</v>
      </c>
      <c r="J119" s="9">
        <f>J109*C22</f>
        <v>10</v>
      </c>
      <c r="K119" s="20">
        <f>K109*C23</f>
        <v>3.333333333333333</v>
      </c>
      <c r="L119" s="9">
        <f>L109*C24</f>
        <v>5</v>
      </c>
      <c r="M119" s="9">
        <f>M109*C25</f>
        <v>5</v>
      </c>
      <c r="N119" s="9">
        <f>N109*C26</f>
        <v>15</v>
      </c>
      <c r="O119" s="20">
        <f t="shared" si="22"/>
        <v>71.583333333333343</v>
      </c>
      <c r="P119" s="9">
        <f t="shared" si="21"/>
        <v>6</v>
      </c>
    </row>
  </sheetData>
  <phoneticPr fontId="1" type="noConversion"/>
  <conditionalFormatting sqref="P49">
    <cfRule type="duplicateValues" dxfId="1" priority="3"/>
  </conditionalFormatting>
  <conditionalFormatting sqref="P50">
    <cfRule type="duplicateValues" dxfId="0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7028-436B-4FE2-9CD4-951DC7160D43}">
  <dimension ref="A1:N25"/>
  <sheetViews>
    <sheetView zoomScale="118" workbookViewId="0">
      <selection activeCell="B2" sqref="B2"/>
    </sheetView>
  </sheetViews>
  <sheetFormatPr defaultRowHeight="14.5" x14ac:dyDescent="0.35"/>
  <cols>
    <col min="1" max="1" width="20.453125" customWidth="1"/>
    <col min="4" max="4" width="19.90625" customWidth="1"/>
    <col min="7" max="7" width="18.08984375" customWidth="1"/>
    <col min="10" max="10" width="18.54296875" customWidth="1"/>
  </cols>
  <sheetData>
    <row r="1" spans="1:14" x14ac:dyDescent="0.35">
      <c r="A1" t="s">
        <v>10</v>
      </c>
      <c r="B1" t="s">
        <v>11</v>
      </c>
      <c r="D1" t="s">
        <v>16</v>
      </c>
    </row>
    <row r="2" spans="1:14" x14ac:dyDescent="0.35">
      <c r="A2" t="s">
        <v>0</v>
      </c>
      <c r="B2">
        <f t="shared" ref="B2:B11" si="0">AVERAGE(B15,E15,H15,K15,N15)</f>
        <v>18.399999999999999</v>
      </c>
      <c r="D2">
        <v>1</v>
      </c>
    </row>
    <row r="3" spans="1:14" x14ac:dyDescent="0.35">
      <c r="A3" t="s">
        <v>1</v>
      </c>
      <c r="B3">
        <f t="shared" si="0"/>
        <v>11.2</v>
      </c>
      <c r="D3">
        <v>2</v>
      </c>
    </row>
    <row r="4" spans="1:14" x14ac:dyDescent="0.35">
      <c r="A4" t="s">
        <v>2</v>
      </c>
      <c r="B4">
        <f t="shared" si="0"/>
        <v>10.6</v>
      </c>
      <c r="D4">
        <v>3</v>
      </c>
    </row>
    <row r="5" spans="1:14" x14ac:dyDescent="0.35">
      <c r="A5" t="s">
        <v>3</v>
      </c>
      <c r="B5">
        <f t="shared" si="0"/>
        <v>11.6</v>
      </c>
      <c r="D5">
        <v>4</v>
      </c>
    </row>
    <row r="6" spans="1:14" x14ac:dyDescent="0.35">
      <c r="A6" t="s">
        <v>4</v>
      </c>
      <c r="B6">
        <f t="shared" si="0"/>
        <v>14.2</v>
      </c>
      <c r="D6">
        <v>5</v>
      </c>
    </row>
    <row r="7" spans="1:14" x14ac:dyDescent="0.35">
      <c r="A7" t="s">
        <v>5</v>
      </c>
      <c r="B7">
        <f t="shared" si="0"/>
        <v>7.2</v>
      </c>
      <c r="D7">
        <v>6</v>
      </c>
    </row>
    <row r="8" spans="1:14" x14ac:dyDescent="0.35">
      <c r="A8" t="s">
        <v>6</v>
      </c>
      <c r="B8">
        <f t="shared" si="0"/>
        <v>7</v>
      </c>
      <c r="D8">
        <v>7</v>
      </c>
    </row>
    <row r="9" spans="1:14" x14ac:dyDescent="0.35">
      <c r="A9" t="s">
        <v>7</v>
      </c>
      <c r="B9">
        <f t="shared" si="0"/>
        <v>6</v>
      </c>
      <c r="D9">
        <v>8</v>
      </c>
    </row>
    <row r="10" spans="1:14" x14ac:dyDescent="0.35">
      <c r="A10" t="s">
        <v>8</v>
      </c>
      <c r="B10">
        <f t="shared" si="0"/>
        <v>7</v>
      </c>
      <c r="D10">
        <v>9</v>
      </c>
    </row>
    <row r="11" spans="1:14" x14ac:dyDescent="0.35">
      <c r="A11" t="s">
        <v>9</v>
      </c>
      <c r="B11">
        <f t="shared" si="0"/>
        <v>6.8</v>
      </c>
      <c r="D11">
        <v>10</v>
      </c>
    </row>
    <row r="12" spans="1:14" x14ac:dyDescent="0.35">
      <c r="B12">
        <f>SUM(B2:B11)</f>
        <v>100</v>
      </c>
    </row>
    <row r="13" spans="1:14" x14ac:dyDescent="0.35">
      <c r="A13" t="s">
        <v>12</v>
      </c>
      <c r="D13" t="s">
        <v>13</v>
      </c>
      <c r="G13" t="s">
        <v>14</v>
      </c>
      <c r="J13" t="s">
        <v>15</v>
      </c>
    </row>
    <row r="14" spans="1:14" x14ac:dyDescent="0.35">
      <c r="A14" t="s">
        <v>10</v>
      </c>
      <c r="B14" t="s">
        <v>11</v>
      </c>
      <c r="D14" t="s">
        <v>10</v>
      </c>
      <c r="E14" t="s">
        <v>11</v>
      </c>
      <c r="G14" t="s">
        <v>10</v>
      </c>
      <c r="H14" t="s">
        <v>11</v>
      </c>
      <c r="J14" t="s">
        <v>10</v>
      </c>
      <c r="K14" t="s">
        <v>11</v>
      </c>
      <c r="M14" t="s">
        <v>10</v>
      </c>
      <c r="N14" t="s">
        <v>11</v>
      </c>
    </row>
    <row r="15" spans="1:14" x14ac:dyDescent="0.35">
      <c r="A15" t="s">
        <v>0</v>
      </c>
      <c r="B15">
        <v>22</v>
      </c>
      <c r="D15" t="s">
        <v>0</v>
      </c>
      <c r="E15">
        <v>25</v>
      </c>
      <c r="G15" t="s">
        <v>0</v>
      </c>
      <c r="H15">
        <v>20</v>
      </c>
      <c r="J15" t="s">
        <v>0</v>
      </c>
      <c r="K15">
        <v>13</v>
      </c>
      <c r="M15" t="s">
        <v>0</v>
      </c>
      <c r="N15">
        <v>12</v>
      </c>
    </row>
    <row r="16" spans="1:14" x14ac:dyDescent="0.35">
      <c r="A16" t="s">
        <v>1</v>
      </c>
      <c r="B16">
        <v>18</v>
      </c>
      <c r="D16" t="s">
        <v>1</v>
      </c>
      <c r="E16">
        <v>8</v>
      </c>
      <c r="G16" t="s">
        <v>1</v>
      </c>
      <c r="H16">
        <v>10</v>
      </c>
      <c r="J16" t="s">
        <v>1</v>
      </c>
      <c r="K16">
        <v>10</v>
      </c>
      <c r="M16" t="s">
        <v>1</v>
      </c>
      <c r="N16">
        <v>10</v>
      </c>
    </row>
    <row r="17" spans="1:14" x14ac:dyDescent="0.35">
      <c r="A17" t="s">
        <v>2</v>
      </c>
      <c r="B17">
        <v>12</v>
      </c>
      <c r="D17" t="s">
        <v>2</v>
      </c>
      <c r="E17">
        <v>10</v>
      </c>
      <c r="G17" t="s">
        <v>2</v>
      </c>
      <c r="H17">
        <v>15</v>
      </c>
      <c r="J17" t="s">
        <v>2</v>
      </c>
      <c r="K17">
        <v>5</v>
      </c>
      <c r="M17" t="s">
        <v>2</v>
      </c>
      <c r="N17">
        <v>11</v>
      </c>
    </row>
    <row r="18" spans="1:14" x14ac:dyDescent="0.35">
      <c r="A18" t="s">
        <v>3</v>
      </c>
      <c r="B18">
        <v>8</v>
      </c>
      <c r="D18" t="s">
        <v>3</v>
      </c>
      <c r="E18">
        <v>20</v>
      </c>
      <c r="G18" t="s">
        <v>3</v>
      </c>
      <c r="H18">
        <v>15</v>
      </c>
      <c r="J18" t="s">
        <v>3</v>
      </c>
      <c r="K18">
        <v>5</v>
      </c>
      <c r="M18" t="s">
        <v>3</v>
      </c>
      <c r="N18">
        <v>10</v>
      </c>
    </row>
    <row r="19" spans="1:14" x14ac:dyDescent="0.35">
      <c r="A19" t="s">
        <v>4</v>
      </c>
      <c r="B19">
        <v>10</v>
      </c>
      <c r="D19" t="s">
        <v>4</v>
      </c>
      <c r="E19">
        <v>15</v>
      </c>
      <c r="G19" t="s">
        <v>4</v>
      </c>
      <c r="H19">
        <v>6</v>
      </c>
      <c r="J19" t="s">
        <v>4</v>
      </c>
      <c r="K19">
        <v>20</v>
      </c>
      <c r="M19" t="s">
        <v>4</v>
      </c>
      <c r="N19">
        <v>20</v>
      </c>
    </row>
    <row r="20" spans="1:14" x14ac:dyDescent="0.35">
      <c r="A20" t="s">
        <v>5</v>
      </c>
      <c r="B20">
        <v>8</v>
      </c>
      <c r="D20" t="s">
        <v>5</v>
      </c>
      <c r="E20">
        <v>2</v>
      </c>
      <c r="G20" t="s">
        <v>5</v>
      </c>
      <c r="H20">
        <v>6</v>
      </c>
      <c r="J20" t="s">
        <v>5</v>
      </c>
      <c r="K20">
        <v>10</v>
      </c>
      <c r="M20" t="s">
        <v>5</v>
      </c>
      <c r="N20">
        <v>10</v>
      </c>
    </row>
    <row r="21" spans="1:14" x14ac:dyDescent="0.35">
      <c r="A21" t="s">
        <v>6</v>
      </c>
      <c r="B21">
        <v>6</v>
      </c>
      <c r="D21" t="s">
        <v>6</v>
      </c>
      <c r="E21">
        <v>5</v>
      </c>
      <c r="G21" t="s">
        <v>6</v>
      </c>
      <c r="H21">
        <v>10</v>
      </c>
      <c r="J21" t="s">
        <v>6</v>
      </c>
      <c r="K21">
        <v>7</v>
      </c>
      <c r="M21" t="s">
        <v>6</v>
      </c>
      <c r="N21">
        <v>7</v>
      </c>
    </row>
    <row r="22" spans="1:14" x14ac:dyDescent="0.35">
      <c r="A22" t="s">
        <v>7</v>
      </c>
      <c r="B22">
        <v>5</v>
      </c>
      <c r="D22" t="s">
        <v>7</v>
      </c>
      <c r="E22">
        <v>5</v>
      </c>
      <c r="G22" t="s">
        <v>7</v>
      </c>
      <c r="H22">
        <v>5</v>
      </c>
      <c r="J22" t="s">
        <v>7</v>
      </c>
      <c r="K22">
        <v>10</v>
      </c>
      <c r="M22" t="s">
        <v>7</v>
      </c>
      <c r="N22">
        <v>5</v>
      </c>
    </row>
    <row r="23" spans="1:14" x14ac:dyDescent="0.35">
      <c r="A23" t="s">
        <v>8</v>
      </c>
      <c r="B23">
        <v>5</v>
      </c>
      <c r="D23" t="s">
        <v>8</v>
      </c>
      <c r="E23">
        <v>5</v>
      </c>
      <c r="G23" t="s">
        <v>8</v>
      </c>
      <c r="H23">
        <v>5</v>
      </c>
      <c r="J23" t="s">
        <v>8</v>
      </c>
      <c r="K23">
        <v>10</v>
      </c>
      <c r="M23" t="s">
        <v>8</v>
      </c>
      <c r="N23">
        <v>10</v>
      </c>
    </row>
    <row r="24" spans="1:14" x14ac:dyDescent="0.35">
      <c r="A24" t="s">
        <v>9</v>
      </c>
      <c r="B24">
        <v>6</v>
      </c>
      <c r="D24" t="s">
        <v>9</v>
      </c>
      <c r="E24">
        <v>5</v>
      </c>
      <c r="G24" t="s">
        <v>9</v>
      </c>
      <c r="H24">
        <v>8</v>
      </c>
      <c r="J24" t="s">
        <v>9</v>
      </c>
      <c r="K24">
        <v>10</v>
      </c>
      <c r="M24" t="s">
        <v>9</v>
      </c>
      <c r="N24">
        <v>5</v>
      </c>
    </row>
    <row r="25" spans="1:14" x14ac:dyDescent="0.35">
      <c r="B25">
        <f>SUM(B15:B24)</f>
        <v>100</v>
      </c>
      <c r="E25">
        <f>SUM(E15:E24)</f>
        <v>100</v>
      </c>
      <c r="H25">
        <f>SUM(H15:H24)</f>
        <v>100</v>
      </c>
      <c r="K25">
        <f>SUM(K15:K24)</f>
        <v>100</v>
      </c>
      <c r="N25">
        <f>SUM(N15:N24)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Kost</vt:lpstr>
      <vt:lpstr>kost rapi</vt:lpstr>
      <vt:lpstr>Studi Kasus for me awalan</vt:lpstr>
      <vt:lpstr>Studi Kasus for me revisi</vt:lpstr>
      <vt:lpstr>Sheet1</vt:lpstr>
      <vt:lpstr>Studi Kasus for jurnal</vt:lpstr>
      <vt:lpstr>Ressponden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RAFAIDHIL</dc:creator>
  <cp:lastModifiedBy>Lenovo Legion Pro 5</cp:lastModifiedBy>
  <dcterms:created xsi:type="dcterms:W3CDTF">2025-11-07T05:05:55Z</dcterms:created>
  <dcterms:modified xsi:type="dcterms:W3CDTF">2026-03-18T13:30:22Z</dcterms:modified>
</cp:coreProperties>
</file>