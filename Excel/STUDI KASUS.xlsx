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312B6E11-071E-4299-81D1-B460E2C5E32F}" xr6:coauthVersionLast="47" xr6:coauthVersionMax="47" xr10:uidLastSave="{00000000-0000-0000-0000-000000000000}"/>
  <bookViews>
    <workbookView xWindow="-108" yWindow="-108" windowWidth="23256" windowHeight="12456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1" i="12" l="1"/>
  <c r="I179" i="12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<sst xmlns="http://schemas.openxmlformats.org/spreadsheetml/2006/main" count="2357" uniqueCount="507">
  <si>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</si>
  <si>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</si>
  <si>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</si>
  <si>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</si>
  <si>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</si>
  <si>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</si>
  <si>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</si>
  <si>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</si>
  <si>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</si>
  <si>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</si>
  <si>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</si>
  <si>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</si>
  <si>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</si>
  <si>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</si>
  <si>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</si>
  <si>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</si>
  <si>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</si>
  <si>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</si>
  <si>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</si>
  <si>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</si>
  <si>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</si>
  <si>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</si>
  <si>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</si>
  <si>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</si>
  <si>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</si>
  <si>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</si>
  <si>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</si>
  <si>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</si>
  <si>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</si>
  <si>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</si>
  <si>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</si>
  <si>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</si>
  <si>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</si>
  <si>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</si>
  <si>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</si>
  <si>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</si>
  <si>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</si>
  <si>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</si>
  <si>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</si>
  <si>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</si>
  <si>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</si>
  <si>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</si>
  <si>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</si>
  <si>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</si>
  <si>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</si>
  <si>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</si>
  <si>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</si>
  <si>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</si>
  <si>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</si>
  <si>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</si>
  <si>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</si>
  <si>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</si>
  <si>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</si>
  <si>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</si>
  <si>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</si>
  <si>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</si>
  <si>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</si>
  <si>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</si>
  <si>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</si>
  <si>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</si>
  <si>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</si>
  <si>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</si>
  <si>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</si>
  <si>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</si>
  <si>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</si>
  <si>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</si>
  <si>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</si>
  <si>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</si>
  <si>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</si>
  <si>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</si>
  <si>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</si>
  <si>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</si>
  <si>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</si>
  <si>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</si>
  <si>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</si>
  <si>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</si>
  <si>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</si>
  <si>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</si>
  <si>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</si>
  <si>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</si>
  <si>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</si>
  <si>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</si>
  <si>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</si>
  <si>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</si>
  <si>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</si>
  <si>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</si>
  <si>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</si>
  <si>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</si>
  <si>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</si>
  <si>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</si>
  <si>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</si>
  <si>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</si>
  <si>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</si>
  <si>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</si>
  <si>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</si>
  <si>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</si>
  <si>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</si>
  <si>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</si>
  <si>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</si>
  <si>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</si>
  <si>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</si>
  <si>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</si>
  <si>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</si>
  <si>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</si>
  <si>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</si>
  <si>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</si>
  <si>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</si>
  <si>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</si>
  <si>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</si>
  <si>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</si>
  <si>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</si>
  <si>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</si>
  <si>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</si>
  <si>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</si>
  <si>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</si>
  <si>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</si>
  <si>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</si>
  <si>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</si>
  <si>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</si>
  <si>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</si>
  <si>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</si>
  <si>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</si>
  <si>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</si>
  <si>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</si>
  <si>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</si>
  <si>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</si>
  <si>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</si>
  <si>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</si>
  <si>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</si>
  <si>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</si>
  <si>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</si>
  <si>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</si>
  <si>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</si>
  <si>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</si>
  <si>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</si>
  <si>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</si>
  <si>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</si>
  <si>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</si>
  <si>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</si>
  <si>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</si>
  <si>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</si>
  <si>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</si>
  <si>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</si>
  <si>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</si>
  <si>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</si>
  <si>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</si>
  <si>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</si>
  <si>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</si>
  <si>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</si>
  <si>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</si>
  <si>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</si>
  <si>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</si>
  <si>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</si>
  <si>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</si>
  <si>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</si>
  <si>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</si>
  <si>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</si>
  <si>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</si>
  <si>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</si>
  <si>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</si>
  <si>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</si>
  <si>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</si>
  <si>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</si>
  <si>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</si>
  <si>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</si>
  <si>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</si>
  <si>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</si>
  <si>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</si>
  <si>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</si>
  <si>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</si>
  <si>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</si>
  <si>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</si>
  <si>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</si>
  <si>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</si>
  <si>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</si>
  <si>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</si>
  <si>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</si>
  <si>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</si>
  <si>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</si>
  <si>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</si>
  <si>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</si>
  <si>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</si>
  <si>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</si>
  <si>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</si>
  <si>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</si>
  <si>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</si>
  <si>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</si>
  <si>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</si>
  <si>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</si>
  <si>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</si>
  <si>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</si>
  <si>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</si>
  <si>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</si>
  <si>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</si>
  <si>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</si>
  <si>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</si>
  <si>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</si>
  <si>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</si>
  <si>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</si>
  <si>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</si>
  <si>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</si>
  <si>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</si>
  <si>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</si>
  <si>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</si>
  <si>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</si>
  <si>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</si>
  <si>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</si>
  <si>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</si>
  <si>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</si>
  <si>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</si>
  <si>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</si>
  <si>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</si>
  <si>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</si>
  <si>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</si>
  <si>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</si>
  <si>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</si>
  <si>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</si>
  <si>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</si>
  <si>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</si>
  <si>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</si>
  <si>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</si>
  <si>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</si>
  <si>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</si>
  <si>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</si>
  <si>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</si>
  <si>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</si>
  <si>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</si>
  <si>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</si>
  <si>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</si>
  <si>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</si>
  <si>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</si>
  <si>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</si>
  <si>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</si>
  <si>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</si>
  <si>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</si>
  <si>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</si>
  <si>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</si>
  <si>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</si>
  <si>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</si>
  <si>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</si>
  <si>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</si>
  <si>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</si>
  <si>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</si>
  <si>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</si>
  <si>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</si>
  <si>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</si>
  <si>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</si>
  <si>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</si>
  <si>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</si>
  <si>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</si>
  <si>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</si>
  <si>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</si>
  <si>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</si>
  <si>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</si>
  <si>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</si>
  <si>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</si>
  <si>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</si>
  <si>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</si>
  <si>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</si>
  <si>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</si>
  <si>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</si>
  <si>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</si>
  <si>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</si>
  <si>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</si>
  <si>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</si>
  <si>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</si>
  <si>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</si>
  <si>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</si>
  <si>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</si>
  <si>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</si>
  <si>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</si>
  <si>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</si>
  <si>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</si>
  <si>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</si>
  <si>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</si>
  <si>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</si>
  <si>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</si>
  <si>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</si>
  <si>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</si>
  <si>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</si>
  <si>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</si>
  <si>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</si>
  <si>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</si>
  <si>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</si>
  <si>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</si>
  <si>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</si>
  <si>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</si>
  <si>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</si>
  <si>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</si>
  <si>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</si>
  <si>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</si>
  <si>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</si>
  <si>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</si>
  <si>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</si>
  <si>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</si>
  <si>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</si>
  <si>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</si>
  <si>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</si>
  <si>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</si>
  <si>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</si>
  <si>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</si>
  <si>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</si>
  <si>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</si>
  <si>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</si>
  <si>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</si>
  <si>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</si>
  <si>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</si>
  <si>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</si>
  <si>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</si>
  <si>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</si>
  <si>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</si>
  <si>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</si>
  <si>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</si>
  <si>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</si>
  <si>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</si>
  <si>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</si>
  <si>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</si>
  <si>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</si>
  <si>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</si>
  <si>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</si>
  <si>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</si>
  <si>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</si>
  <si>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</si>
  <si>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</si>
  <si>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</si>
  <si>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</si>
  <si>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</si>
  <si>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</si>
  <si>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</si>
  <si>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</si>
  <si>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</si>
  <si>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</si>
  <si>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</si>
  <si>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</si>
  <si>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</si>
  <si>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</si>
  <si>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</si>
  <si>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</si>
  <si>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</si>
  <si>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</si>
  <si>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</si>
  <si>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</si>
  <si>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</si>
  <si>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</si>
  <si>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</si>
  <si>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</si>
  <si>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</si>
  <si>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</si>
  <si>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</si>
  <si>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</si>
  <si>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</si>
  <si>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</si>
  <si>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</si>
  <si>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</si>
  <si>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</si>
  <si>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</si>
  <si>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</si>
  <si>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</si>
  <si>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</si>
  <si>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</si>
  <si>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</si>
  <si>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</si>
  <si>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</si>
  <si>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</si>
  <si>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</si>
  <si>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</si>
  <si>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</si>
  <si>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</si>
  <si>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</si>
  <si>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</si>
  <si>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</si>
  <si>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</si>
  <si>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</si>
  <si>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</si>
  <si>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</si>
  <si>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</si>
  <si>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</si>
  <si>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</si>
  <si>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</si>
  <si>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</si>
  <si>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</si>
  <si>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</si>
  <si>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</si>
  <si>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</si>
  <si>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</si>
  <si>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</si>
  <si>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</si>
  <si>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</si>
  <si>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</si>
  <si>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</si>
  <si>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</si>
  <si>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</si>
  <si>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</si>
  <si>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</si>
  <si>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</si>
  <si>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</si>
  <si>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</si>
  <si>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</si>
  <si>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</si>
  <si>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</si>
  <si>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</si>
  <si>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</si>
  <si>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</si>
  <si>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</si>
  <si>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</si>
  <si>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</si>
  <si>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</si>
  <si>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</si>
  <si>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</si>
  <si>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</si>
  <si>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</si>
  <si>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</si>
  <si>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</si>
  <si>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</si>
  <si>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</si>
  <si>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</si>
  <si>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</si>
  <si>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</si>
  <si>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</si>
  <si>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</si>
  <si>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</si>
  <si>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</si>
  <si>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</si>
  <si>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</si>
  <si>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</si>
  <si>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</si>
  <si>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</si>
  <si>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</si>
  <si>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</si>
  <si>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</si>
  <si>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</si>
  <si>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</si>
  <si>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</si>
  <si>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</si>
  <si>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</si>
  <si>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</si>
  <si>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</si>
  <si>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</si>
  <si>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</si>
  <si>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</si>
  <si>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</si>
  <si>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</si>
  <si>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</si>
  <si>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</si>
  <si>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</si>
  <si>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</si>
  <si>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</si>
  <si>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</si>
  <si>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</si>
  <si>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</si>
  <si>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</si>
  <si>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</si>
  <si>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</si>
  <si>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</si>
  <si>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</si>
  <si>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</si>
  <si>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</si>
  <si>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</si>
  <si>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</si>
  <si>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</si>
  <si>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</si>
  <si>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</si>
  <si>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</si>
  <si>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</si>
  <si>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</si>
  <si>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</si>
  <si>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</si>
  <si>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</si>
  <si>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</si>
  <si>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</si>
  <si>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</si>
  <si>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</si>
  <si>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</si>
  <si>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</si>
  <si>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</si>
  <si>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</si>
  <si>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</si>
  <si>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</si>
  <si>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</si>
  <si>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</si>
  <si>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</si>
  <si>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</si>
  <si>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</si>
  <si>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</si>
  <si>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</si>
  <si>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</si>
  <si>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</si>
  <si>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</si>
  <si>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</si>
  <si>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</si>
  <si>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</si>
  <si>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</si>
  <si>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</si>
  <si>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</si>
  <si>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</si>
  <si>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</si>
  <si>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</si>
  <si>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</si>
  <si>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</si>
  <si>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</si>
  <si>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</si>
  <si>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</si>
  <si>
    <t>Spring bed, lemari, meja,  ac, tempat parkir, kamar mandi dalam, exhaust</t>
  </si>
  <si>
    <t xml:space="preserve">Spring Bed,
Lemari, Meja,
Wc Dalam,
Dapur Dalam,Wifi, tempat parkir, AC, electrict hoist         </t>
  </si>
  <si>
    <t xml:space="preserve">Spring Bed, electrict hoist , Lemari, Meja, Wc Dalam,
Dapur Dalam, AC, Wifi, Tempat parkir         </t>
  </si>
  <si>
    <t>Narasumber</t>
  </si>
  <si>
    <t>Ac, spring bed, lemari, wc Dalam, wifi, tempat parkir, electric hoist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</si>
</sst>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4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0" zoomScale="93" workbookViewId="0">
      <selection activeCell="O17" sqref="O17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377</v>
      </c>
      <c r="D13" s="9" t="s">
        <v>381</v>
      </c>
      <c r="E13" s="9" t="s">
        <v>378</v>
      </c>
      <c r="F13" s="2" t="s">
        <v>382</v>
      </c>
      <c r="G13" s="9" t="s">
        <v>379</v>
      </c>
      <c r="H13" s="2" t="s">
        <v>386</v>
      </c>
      <c r="I13" s="3" t="s">
        <v>388</v>
      </c>
      <c r="J13" s="9" t="s">
        <v>135</v>
      </c>
      <c r="K13" s="7" t="s">
        <v>71</v>
      </c>
      <c r="L13" s="9" t="s">
        <v>240</v>
      </c>
      <c r="M13" s="5" t="s">
        <v>380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384</v>
      </c>
      <c r="D14" s="9" t="s">
        <v>383</v>
      </c>
      <c r="E14" s="9" t="s">
        <v>385</v>
      </c>
      <c r="F14" s="2" t="s">
        <v>433</v>
      </c>
      <c r="G14" s="9" t="s">
        <v>93</v>
      </c>
      <c r="H14" s="2" t="s">
        <v>387</v>
      </c>
      <c r="I14" s="3" t="s">
        <v>403</v>
      </c>
      <c r="J14" s="9" t="s">
        <v>135</v>
      </c>
      <c r="K14" s="7" t="s">
        <v>389</v>
      </c>
      <c r="L14" s="9" t="s">
        <v>240</v>
      </c>
      <c r="M14" s="5" t="s">
        <v>380</v>
      </c>
      <c r="O14" s="9" t="s">
        <v>390</v>
      </c>
    </row>
    <row r="15" spans="1:16" ht="28.8" x14ac:dyDescent="0.3">
      <c r="A15" s="9">
        <v>13</v>
      </c>
      <c r="B15" s="9">
        <v>13</v>
      </c>
      <c r="C15" s="9" t="s">
        <v>391</v>
      </c>
      <c r="D15" s="9" t="s">
        <v>392</v>
      </c>
      <c r="E15" s="9" t="s">
        <v>385</v>
      </c>
      <c r="F15" s="2" t="s">
        <v>396</v>
      </c>
      <c r="G15" s="9" t="s">
        <v>93</v>
      </c>
      <c r="H15" s="2" t="s">
        <v>393</v>
      </c>
      <c r="I15" s="3" t="s">
        <v>402</v>
      </c>
      <c r="J15" s="9" t="s">
        <v>72</v>
      </c>
      <c r="K15" s="7" t="s">
        <v>394</v>
      </c>
      <c r="L15" s="9" t="s">
        <v>240</v>
      </c>
      <c r="M15" s="5" t="s">
        <v>325</v>
      </c>
      <c r="O15" s="9" t="s">
        <v>395</v>
      </c>
    </row>
    <row r="16" spans="1:16" ht="43.2" x14ac:dyDescent="0.3">
      <c r="A16" s="9">
        <v>14</v>
      </c>
      <c r="B16" s="9">
        <v>14</v>
      </c>
      <c r="C16" s="9" t="s">
        <v>397</v>
      </c>
      <c r="D16" s="9" t="s">
        <v>398</v>
      </c>
      <c r="E16" s="9" t="s">
        <v>400</v>
      </c>
      <c r="F16" s="2" t="s">
        <v>399</v>
      </c>
      <c r="G16" s="9" t="s">
        <v>93</v>
      </c>
      <c r="H16" s="2" t="s">
        <v>401</v>
      </c>
      <c r="I16" s="3" t="s">
        <v>404</v>
      </c>
      <c r="J16" s="9" t="s">
        <v>72</v>
      </c>
      <c r="K16" s="7" t="s">
        <v>241</v>
      </c>
      <c r="L16" s="9" t="s">
        <v>405</v>
      </c>
      <c r="M16" s="5" t="s">
        <v>380</v>
      </c>
      <c r="O16" s="9" t="s">
        <v>406</v>
      </c>
    </row>
    <row r="17" spans="1:15" ht="57.6" x14ac:dyDescent="0.3">
      <c r="A17" s="9">
        <v>15</v>
      </c>
      <c r="B17" s="9">
        <v>15</v>
      </c>
      <c r="C17" s="9" t="s">
        <v>407</v>
      </c>
      <c r="D17" s="9" t="s">
        <v>412</v>
      </c>
      <c r="E17" s="9" t="s">
        <v>408</v>
      </c>
      <c r="F17" s="2" t="s">
        <v>413</v>
      </c>
      <c r="G17" s="9" t="s">
        <v>93</v>
      </c>
      <c r="H17" s="2" t="s">
        <v>409</v>
      </c>
      <c r="I17" s="3" t="s">
        <v>410</v>
      </c>
      <c r="J17" s="9" t="s">
        <v>298</v>
      </c>
      <c r="K17" s="7" t="s">
        <v>411</v>
      </c>
      <c r="L17" s="9" t="s">
        <v>240</v>
      </c>
      <c r="M17" s="5" t="s">
        <v>325</v>
      </c>
      <c r="O17" s="9" t="s">
        <v>395</v>
      </c>
    </row>
    <row r="18" spans="1:15" ht="43.2" x14ac:dyDescent="0.3">
      <c r="A18" s="9">
        <v>16</v>
      </c>
      <c r="B18" s="9">
        <v>16</v>
      </c>
      <c r="C18" s="9" t="s">
        <v>414</v>
      </c>
      <c r="D18" s="9" t="s">
        <v>415</v>
      </c>
      <c r="E18" s="9" t="s">
        <v>416</v>
      </c>
      <c r="F18" s="2" t="s">
        <v>417</v>
      </c>
      <c r="G18" s="9" t="s">
        <v>93</v>
      </c>
      <c r="H18" s="2" t="s">
        <v>418</v>
      </c>
      <c r="I18" s="3" t="s">
        <v>419</v>
      </c>
      <c r="J18" s="9" t="s">
        <v>72</v>
      </c>
      <c r="K18" s="7" t="s">
        <v>411</v>
      </c>
      <c r="L18" s="9" t="s">
        <v>240</v>
      </c>
      <c r="M18" s="5" t="s">
        <v>380</v>
      </c>
      <c r="O18" s="9" t="s">
        <v>395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workbookViewId="0">
      <selection activeCell="D7" sqref="D7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505</v>
      </c>
      <c r="L1" s="49" t="s">
        <v>47</v>
      </c>
      <c r="M1" s="50" t="s">
        <v>48</v>
      </c>
      <c r="N1" s="49" t="s">
        <v>337</v>
      </c>
      <c r="O1" s="52" t="s">
        <v>350</v>
      </c>
      <c r="P1" s="49" t="s">
        <v>351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341</v>
      </c>
      <c r="M2" s="8" t="s">
        <v>63</v>
      </c>
      <c r="N2" s="9" t="s">
        <v>331</v>
      </c>
      <c r="O2" s="51" t="s">
        <v>352</v>
      </c>
      <c r="P2" s="9" t="s">
        <v>354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503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327</v>
      </c>
      <c r="J3" s="12" t="s">
        <v>81</v>
      </c>
      <c r="K3" s="9" t="s">
        <v>61</v>
      </c>
      <c r="L3" s="12" t="s">
        <v>342</v>
      </c>
      <c r="M3" s="8" t="s">
        <v>63</v>
      </c>
      <c r="N3" s="9" t="s">
        <v>330</v>
      </c>
      <c r="O3" s="51" t="s">
        <v>352</v>
      </c>
      <c r="P3" s="9" t="s">
        <v>354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504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343</v>
      </c>
      <c r="M4" s="8" t="s">
        <v>63</v>
      </c>
      <c r="N4" s="9" t="s">
        <v>329</v>
      </c>
      <c r="O4" s="51" t="s">
        <v>352</v>
      </c>
      <c r="P4" s="9" t="s">
        <v>354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500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344</v>
      </c>
      <c r="M5" s="8" t="s">
        <v>94</v>
      </c>
      <c r="N5" s="9" t="s">
        <v>332</v>
      </c>
      <c r="O5" s="51" t="s">
        <v>353</v>
      </c>
      <c r="P5" s="12" t="s">
        <v>355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502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327</v>
      </c>
      <c r="J6" s="12" t="s">
        <v>81</v>
      </c>
      <c r="K6" s="9" t="s">
        <v>78</v>
      </c>
      <c r="L6" s="12" t="s">
        <v>345</v>
      </c>
      <c r="M6" s="8" t="s">
        <v>79</v>
      </c>
      <c r="N6" s="12" t="s">
        <v>333</v>
      </c>
      <c r="O6" s="55" t="s">
        <v>356</v>
      </c>
      <c r="P6" s="9" t="s">
        <v>357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506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327</v>
      </c>
      <c r="J7" s="12" t="s">
        <v>93</v>
      </c>
      <c r="K7" s="12" t="s">
        <v>96</v>
      </c>
      <c r="L7" s="12" t="s">
        <v>342</v>
      </c>
      <c r="M7" s="14" t="s">
        <v>97</v>
      </c>
      <c r="N7" s="9" t="s">
        <v>334</v>
      </c>
      <c r="O7" s="55" t="s">
        <v>358</v>
      </c>
      <c r="P7" s="9" t="s">
        <v>360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313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328</v>
      </c>
      <c r="J8" s="12" t="s">
        <v>93</v>
      </c>
      <c r="K8" s="9" t="s">
        <v>238</v>
      </c>
      <c r="L8" s="12" t="s">
        <v>346</v>
      </c>
      <c r="M8" s="14" t="s">
        <v>258</v>
      </c>
      <c r="N8" s="9" t="s">
        <v>335</v>
      </c>
      <c r="O8" s="55" t="s">
        <v>359</v>
      </c>
      <c r="P8" s="9" t="s">
        <v>361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314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347</v>
      </c>
      <c r="M9" s="8" t="s">
        <v>259</v>
      </c>
      <c r="N9" s="9" t="s">
        <v>336</v>
      </c>
      <c r="O9" s="55" t="s">
        <v>359</v>
      </c>
      <c r="P9" s="9" t="s">
        <v>361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315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348</v>
      </c>
      <c r="M10" s="8" t="s">
        <v>259</v>
      </c>
      <c r="N10" s="9" t="s">
        <v>338</v>
      </c>
      <c r="O10" s="55" t="s">
        <v>359</v>
      </c>
      <c r="P10" s="9" t="s">
        <v>361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316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349</v>
      </c>
      <c r="M11" s="8" t="s">
        <v>260</v>
      </c>
      <c r="N11" s="9" t="s">
        <v>339</v>
      </c>
      <c r="O11" s="55" t="s">
        <v>488</v>
      </c>
      <c r="P11" s="9" t="s">
        <v>489</v>
      </c>
    </row>
    <row r="12" spans="1:16" ht="43.2" x14ac:dyDescent="0.3">
      <c r="A12" s="12" t="s">
        <v>420</v>
      </c>
      <c r="B12" s="9" t="s">
        <v>377</v>
      </c>
      <c r="C12" s="14" t="s">
        <v>386</v>
      </c>
      <c r="D12" s="12" t="s">
        <v>388</v>
      </c>
      <c r="E12" s="12" t="s">
        <v>135</v>
      </c>
      <c r="F12" s="12" t="s">
        <v>71</v>
      </c>
      <c r="G12" s="9" t="s">
        <v>240</v>
      </c>
      <c r="H12" s="12" t="s">
        <v>426</v>
      </c>
      <c r="I12" s="9" t="s">
        <v>38</v>
      </c>
      <c r="J12" s="9" t="s">
        <v>265</v>
      </c>
      <c r="K12" s="12" t="s">
        <v>381</v>
      </c>
      <c r="L12" s="12" t="s">
        <v>442</v>
      </c>
      <c r="M12" s="8" t="s">
        <v>382</v>
      </c>
      <c r="N12" s="12" t="s">
        <v>431</v>
      </c>
      <c r="O12" s="55" t="s">
        <v>444</v>
      </c>
      <c r="P12" s="9" t="s">
        <v>445</v>
      </c>
    </row>
    <row r="13" spans="1:16" ht="43.2" x14ac:dyDescent="0.3">
      <c r="A13" s="12" t="s">
        <v>421</v>
      </c>
      <c r="B13" s="9" t="s">
        <v>384</v>
      </c>
      <c r="C13" s="14" t="s">
        <v>387</v>
      </c>
      <c r="D13" s="12" t="s">
        <v>403</v>
      </c>
      <c r="E13" s="12" t="s">
        <v>135</v>
      </c>
      <c r="F13" s="12" t="s">
        <v>389</v>
      </c>
      <c r="G13" s="9" t="s">
        <v>240</v>
      </c>
      <c r="H13" s="12" t="s">
        <v>426</v>
      </c>
      <c r="I13" s="9" t="s">
        <v>390</v>
      </c>
      <c r="J13" s="9" t="s">
        <v>93</v>
      </c>
      <c r="K13" s="12" t="s">
        <v>383</v>
      </c>
      <c r="L13" s="12" t="s">
        <v>443</v>
      </c>
      <c r="M13" s="8" t="s">
        <v>433</v>
      </c>
      <c r="N13" s="12" t="s">
        <v>432</v>
      </c>
      <c r="O13" s="55" t="s">
        <v>447</v>
      </c>
      <c r="P13" s="9" t="s">
        <v>446</v>
      </c>
    </row>
    <row r="14" spans="1:16" ht="57.6" x14ac:dyDescent="0.3">
      <c r="A14" s="12" t="s">
        <v>422</v>
      </c>
      <c r="B14" s="9" t="s">
        <v>391</v>
      </c>
      <c r="C14" s="14" t="s">
        <v>393</v>
      </c>
      <c r="D14" s="12" t="s">
        <v>501</v>
      </c>
      <c r="E14" s="12" t="s">
        <v>136</v>
      </c>
      <c r="F14" s="12" t="s">
        <v>394</v>
      </c>
      <c r="G14" s="9" t="s">
        <v>491</v>
      </c>
      <c r="H14" s="12" t="s">
        <v>325</v>
      </c>
      <c r="I14" s="9" t="s">
        <v>395</v>
      </c>
      <c r="J14" s="9" t="s">
        <v>93</v>
      </c>
      <c r="K14" s="12" t="s">
        <v>392</v>
      </c>
      <c r="L14" s="12" t="s">
        <v>438</v>
      </c>
      <c r="M14" s="8" t="s">
        <v>396</v>
      </c>
      <c r="N14" s="12" t="s">
        <v>437</v>
      </c>
      <c r="O14" s="55" t="s">
        <v>448</v>
      </c>
      <c r="P14" s="9" t="s">
        <v>450</v>
      </c>
    </row>
    <row r="15" spans="1:16" ht="43.2" x14ac:dyDescent="0.3">
      <c r="A15" s="12" t="s">
        <v>423</v>
      </c>
      <c r="B15" s="9" t="s">
        <v>397</v>
      </c>
      <c r="C15" s="14" t="s">
        <v>401</v>
      </c>
      <c r="D15" s="12" t="s">
        <v>404</v>
      </c>
      <c r="E15" s="12" t="s">
        <v>72</v>
      </c>
      <c r="F15" s="12" t="s">
        <v>241</v>
      </c>
      <c r="G15" s="9" t="s">
        <v>405</v>
      </c>
      <c r="H15" s="12" t="s">
        <v>426</v>
      </c>
      <c r="I15" s="9" t="s">
        <v>406</v>
      </c>
      <c r="J15" s="9" t="s">
        <v>93</v>
      </c>
      <c r="K15" s="12" t="s">
        <v>398</v>
      </c>
      <c r="L15" s="12" t="s">
        <v>439</v>
      </c>
      <c r="M15" s="8" t="s">
        <v>399</v>
      </c>
      <c r="N15" s="12" t="s">
        <v>434</v>
      </c>
      <c r="O15" s="55" t="s">
        <v>452</v>
      </c>
      <c r="P15" s="9" t="s">
        <v>454</v>
      </c>
    </row>
    <row r="16" spans="1:16" ht="57.6" x14ac:dyDescent="0.3">
      <c r="A16" s="12" t="s">
        <v>424</v>
      </c>
      <c r="B16" s="9" t="s">
        <v>407</v>
      </c>
      <c r="C16" s="14" t="s">
        <v>409</v>
      </c>
      <c r="D16" s="12" t="s">
        <v>410</v>
      </c>
      <c r="E16" s="12" t="s">
        <v>298</v>
      </c>
      <c r="F16" s="12" t="s">
        <v>411</v>
      </c>
      <c r="G16" s="9" t="s">
        <v>240</v>
      </c>
      <c r="H16" s="12" t="s">
        <v>325</v>
      </c>
      <c r="I16" s="9" t="s">
        <v>395</v>
      </c>
      <c r="J16" s="9" t="s">
        <v>93</v>
      </c>
      <c r="K16" s="12" t="s">
        <v>412</v>
      </c>
      <c r="L16" s="12" t="s">
        <v>440</v>
      </c>
      <c r="M16" s="8" t="s">
        <v>413</v>
      </c>
      <c r="N16" s="12" t="s">
        <v>435</v>
      </c>
      <c r="O16" s="51" t="s">
        <v>453</v>
      </c>
      <c r="P16" s="9" t="s">
        <v>455</v>
      </c>
    </row>
    <row r="17" spans="1:16" ht="43.2" x14ac:dyDescent="0.3">
      <c r="A17" s="12" t="s">
        <v>425</v>
      </c>
      <c r="B17" s="9" t="s">
        <v>414</v>
      </c>
      <c r="C17" s="14" t="s">
        <v>418</v>
      </c>
      <c r="D17" s="12" t="s">
        <v>419</v>
      </c>
      <c r="E17" s="12" t="s">
        <v>72</v>
      </c>
      <c r="F17" s="12" t="s">
        <v>411</v>
      </c>
      <c r="G17" s="9" t="s">
        <v>240</v>
      </c>
      <c r="H17" s="12" t="s">
        <v>426</v>
      </c>
      <c r="I17" s="9" t="s">
        <v>395</v>
      </c>
      <c r="J17" s="9" t="s">
        <v>93</v>
      </c>
      <c r="K17" s="12" t="s">
        <v>415</v>
      </c>
      <c r="L17" s="12" t="s">
        <v>441</v>
      </c>
      <c r="M17" s="8" t="s">
        <v>417</v>
      </c>
      <c r="N17" s="12" t="s">
        <v>436</v>
      </c>
      <c r="O17" s="55" t="s">
        <v>449</v>
      </c>
      <c r="P17" s="9" t="s">
        <v>451</v>
      </c>
    </row>
    <row r="27" spans="1:16" x14ac:dyDescent="0.3">
      <c r="B27" t="s">
        <v>340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zoomScale="96" zoomScaleNormal="79" workbookViewId="0">
      <selection activeCell="D74" sqref="D74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462</v>
      </c>
      <c r="H5">
        <v>1</v>
      </c>
      <c r="K5" t="s">
        <v>323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322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324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375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325</v>
      </c>
      <c r="L13">
        <v>1</v>
      </c>
      <c r="O13" s="46" t="s">
        <v>376</v>
      </c>
      <c r="P13">
        <v>1</v>
      </c>
    </row>
    <row r="14" spans="1:16" ht="29.4" thickBot="1" x14ac:dyDescent="0.35">
      <c r="B14" s="15"/>
      <c r="G14" t="s">
        <v>372</v>
      </c>
      <c r="H14">
        <v>2</v>
      </c>
      <c r="K14" s="3" t="s">
        <v>326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373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374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430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478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44">
        <v>0.91666666666666663</v>
      </c>
      <c r="I51" s="36" t="s">
        <v>371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369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370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430</v>
      </c>
      <c r="L60" s="12"/>
      <c r="M60" s="12"/>
    </row>
    <row r="61" spans="1:13" ht="21" thickBot="1" x14ac:dyDescent="0.35">
      <c r="A61" s="35" t="s">
        <v>422</v>
      </c>
      <c r="B61" s="37" t="s">
        <v>391</v>
      </c>
      <c r="C61" s="37">
        <v>708.33299999999997</v>
      </c>
      <c r="D61" s="37">
        <v>6</v>
      </c>
      <c r="E61" s="36" t="s">
        <v>296</v>
      </c>
      <c r="F61" s="37" t="s">
        <v>458</v>
      </c>
      <c r="G61" s="36" t="s">
        <v>297</v>
      </c>
      <c r="H61" s="37" t="s">
        <v>429</v>
      </c>
      <c r="I61" s="36" t="s">
        <v>93</v>
      </c>
      <c r="J61" s="36" t="s">
        <v>135</v>
      </c>
      <c r="K61" s="37" t="s">
        <v>430</v>
      </c>
      <c r="L61" s="12"/>
      <c r="M61" s="12"/>
    </row>
    <row r="62" spans="1:13" ht="15" thickBot="1" x14ac:dyDescent="0.35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37" t="s">
        <v>429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37" t="s">
        <v>429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422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420</v>
      </c>
      <c r="B100" s="48">
        <f t="shared" ref="B100:B105" si="3">1/B79</f>
        <v>1</v>
      </c>
      <c r="F100" t="s">
        <v>420</v>
      </c>
      <c r="G100">
        <f t="shared" ref="G100:G105" si="4">C79/5</f>
        <v>0.6</v>
      </c>
      <c r="J100" t="s">
        <v>420</v>
      </c>
      <c r="K100">
        <f t="shared" ref="K100:K105" si="5">D79/5</f>
        <v>0.6</v>
      </c>
    </row>
    <row r="101" spans="1:11" x14ac:dyDescent="0.3">
      <c r="A101" t="s">
        <v>421</v>
      </c>
      <c r="B101" s="48">
        <f t="shared" si="3"/>
        <v>1</v>
      </c>
      <c r="F101" t="s">
        <v>421</v>
      </c>
      <c r="G101">
        <f t="shared" si="4"/>
        <v>0.6</v>
      </c>
      <c r="J101" t="s">
        <v>421</v>
      </c>
      <c r="K101">
        <f t="shared" si="5"/>
        <v>0.6</v>
      </c>
    </row>
    <row r="102" spans="1:11" x14ac:dyDescent="0.3">
      <c r="A102" t="s">
        <v>422</v>
      </c>
      <c r="B102" s="48">
        <f t="shared" si="3"/>
        <v>1</v>
      </c>
      <c r="F102" t="s">
        <v>422</v>
      </c>
      <c r="G102">
        <f t="shared" si="4"/>
        <v>0.6</v>
      </c>
      <c r="J102" t="s">
        <v>422</v>
      </c>
      <c r="K102">
        <f t="shared" si="5"/>
        <v>0.6</v>
      </c>
    </row>
    <row r="103" spans="1:11" x14ac:dyDescent="0.3">
      <c r="A103" t="s">
        <v>423</v>
      </c>
      <c r="B103" s="48">
        <f t="shared" si="3"/>
        <v>1</v>
      </c>
      <c r="F103" t="s">
        <v>423</v>
      </c>
      <c r="G103">
        <f>C82/5</f>
        <v>0.4</v>
      </c>
      <c r="J103" t="s">
        <v>423</v>
      </c>
      <c r="K103">
        <f t="shared" si="5"/>
        <v>0.8</v>
      </c>
    </row>
    <row r="104" spans="1:11" x14ac:dyDescent="0.3">
      <c r="A104" t="s">
        <v>424</v>
      </c>
      <c r="B104" s="48">
        <f t="shared" si="3"/>
        <v>1</v>
      </c>
      <c r="F104" t="s">
        <v>424</v>
      </c>
      <c r="G104">
        <f t="shared" si="4"/>
        <v>0.6</v>
      </c>
      <c r="J104" t="s">
        <v>424</v>
      </c>
      <c r="K104">
        <f t="shared" si="5"/>
        <v>0.6</v>
      </c>
    </row>
    <row r="105" spans="1:11" x14ac:dyDescent="0.3">
      <c r="A105" t="s">
        <v>425</v>
      </c>
      <c r="B105" s="48">
        <f t="shared" si="3"/>
        <v>1</v>
      </c>
      <c r="F105" t="s">
        <v>425</v>
      </c>
      <c r="G105">
        <f t="shared" si="4"/>
        <v>0.6</v>
      </c>
      <c r="J105" t="s">
        <v>425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420</v>
      </c>
      <c r="B118">
        <f t="shared" si="6"/>
        <v>0.5</v>
      </c>
      <c r="F118" t="s">
        <v>420</v>
      </c>
      <c r="G118">
        <f t="shared" si="7"/>
        <v>1</v>
      </c>
      <c r="J118" t="s">
        <v>420</v>
      </c>
      <c r="K118">
        <f t="shared" ref="K118:K123" si="9">2/G79</f>
        <v>1</v>
      </c>
    </row>
    <row r="119" spans="1:11" x14ac:dyDescent="0.3">
      <c r="A119" t="s">
        <v>421</v>
      </c>
      <c r="B119">
        <f t="shared" si="6"/>
        <v>0.5</v>
      </c>
      <c r="F119" t="s">
        <v>421</v>
      </c>
      <c r="G119">
        <f t="shared" si="7"/>
        <v>1</v>
      </c>
      <c r="J119" t="s">
        <v>421</v>
      </c>
      <c r="K119">
        <f>2/G80</f>
        <v>0.66666666666666663</v>
      </c>
    </row>
    <row r="120" spans="1:11" x14ac:dyDescent="0.3">
      <c r="A120" t="s">
        <v>422</v>
      </c>
      <c r="B120">
        <f t="shared" si="6"/>
        <v>0.5</v>
      </c>
      <c r="F120" t="s">
        <v>422</v>
      </c>
      <c r="G120">
        <f t="shared" si="7"/>
        <v>1</v>
      </c>
      <c r="J120" t="s">
        <v>422</v>
      </c>
      <c r="K120">
        <f t="shared" si="9"/>
        <v>0.4</v>
      </c>
    </row>
    <row r="121" spans="1:11" x14ac:dyDescent="0.3">
      <c r="A121" t="s">
        <v>423</v>
      </c>
      <c r="B121">
        <f t="shared" si="6"/>
        <v>0.5</v>
      </c>
      <c r="F121" t="s">
        <v>423</v>
      </c>
      <c r="G121">
        <f t="shared" si="7"/>
        <v>1</v>
      </c>
      <c r="J121" t="s">
        <v>423</v>
      </c>
      <c r="K121">
        <f t="shared" si="9"/>
        <v>0.4</v>
      </c>
    </row>
    <row r="122" spans="1:11" x14ac:dyDescent="0.3">
      <c r="A122" t="s">
        <v>424</v>
      </c>
      <c r="B122">
        <f t="shared" si="6"/>
        <v>0.5</v>
      </c>
      <c r="F122" t="s">
        <v>424</v>
      </c>
      <c r="G122">
        <f t="shared" si="7"/>
        <v>0.5</v>
      </c>
      <c r="J122" t="s">
        <v>424</v>
      </c>
      <c r="K122">
        <f t="shared" si="9"/>
        <v>0.4</v>
      </c>
    </row>
    <row r="123" spans="1:11" x14ac:dyDescent="0.3">
      <c r="A123" t="s">
        <v>425</v>
      </c>
      <c r="B123">
        <f t="shared" si="6"/>
        <v>0.5</v>
      </c>
      <c r="F123" t="s">
        <v>425</v>
      </c>
      <c r="G123">
        <f t="shared" si="7"/>
        <v>1</v>
      </c>
      <c r="J123" t="s">
        <v>425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464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420</v>
      </c>
      <c r="B136">
        <f t="shared" ref="B136:B141" si="13">H79/2</f>
        <v>0.5</v>
      </c>
      <c r="F136" t="s">
        <v>420</v>
      </c>
      <c r="G136" s="19">
        <f t="shared" si="11"/>
        <v>0.66666666666666663</v>
      </c>
      <c r="J136" t="s">
        <v>420</v>
      </c>
      <c r="K136" s="19">
        <f t="shared" si="12"/>
        <v>1</v>
      </c>
    </row>
    <row r="137" spans="1:11" x14ac:dyDescent="0.3">
      <c r="A137" t="s">
        <v>421</v>
      </c>
      <c r="B137">
        <f t="shared" si="13"/>
        <v>1</v>
      </c>
      <c r="F137" t="s">
        <v>421</v>
      </c>
      <c r="G137" s="19">
        <f t="shared" si="11"/>
        <v>0.66666666666666663</v>
      </c>
      <c r="J137" t="s">
        <v>421</v>
      </c>
      <c r="K137" s="19">
        <f t="shared" si="12"/>
        <v>0.33333333333333331</v>
      </c>
    </row>
    <row r="138" spans="1:11" x14ac:dyDescent="0.3">
      <c r="A138" t="s">
        <v>422</v>
      </c>
      <c r="B138">
        <f t="shared" si="13"/>
        <v>1</v>
      </c>
      <c r="F138" t="s">
        <v>422</v>
      </c>
      <c r="G138" s="19">
        <f t="shared" si="11"/>
        <v>0.66666666666666663</v>
      </c>
      <c r="J138" t="s">
        <v>422</v>
      </c>
      <c r="K138" s="19">
        <f t="shared" si="12"/>
        <v>0.33333333333333331</v>
      </c>
    </row>
    <row r="139" spans="1:11" x14ac:dyDescent="0.3">
      <c r="A139" t="s">
        <v>423</v>
      </c>
      <c r="B139">
        <f t="shared" si="13"/>
        <v>1</v>
      </c>
      <c r="F139" t="s">
        <v>423</v>
      </c>
      <c r="G139" s="19">
        <f t="shared" si="11"/>
        <v>0.66666666666666663</v>
      </c>
      <c r="J139" t="s">
        <v>423</v>
      </c>
      <c r="K139" s="19">
        <f t="shared" si="12"/>
        <v>0.66666666666666663</v>
      </c>
    </row>
    <row r="140" spans="1:11" x14ac:dyDescent="0.3">
      <c r="A140" t="s">
        <v>424</v>
      </c>
      <c r="B140">
        <f t="shared" si="13"/>
        <v>1</v>
      </c>
      <c r="F140" t="s">
        <v>424</v>
      </c>
      <c r="G140" s="19">
        <f t="shared" si="11"/>
        <v>1</v>
      </c>
      <c r="J140" t="s">
        <v>424</v>
      </c>
      <c r="K140" s="19">
        <f t="shared" si="12"/>
        <v>1</v>
      </c>
    </row>
    <row r="141" spans="1:11" x14ac:dyDescent="0.3">
      <c r="A141" t="s">
        <v>425</v>
      </c>
      <c r="B141">
        <f t="shared" si="13"/>
        <v>1</v>
      </c>
      <c r="F141" t="s">
        <v>425</v>
      </c>
      <c r="G141" s="19">
        <f t="shared" si="11"/>
        <v>0.66666666666666663</v>
      </c>
      <c r="J141" t="s">
        <v>425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420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420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421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421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422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422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423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423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424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424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425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425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465</v>
      </c>
      <c r="P164" s="18" t="s">
        <v>465</v>
      </c>
    </row>
    <row r="165" spans="1:28" x14ac:dyDescent="0.3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9" t="s">
        <v>487</v>
      </c>
      <c r="K165" s="9"/>
      <c r="L165" s="9"/>
      <c r="M165" s="9"/>
      <c r="P165" s="9"/>
      <c r="Q165" s="9" t="s">
        <v>467</v>
      </c>
      <c r="R165" s="9" t="s">
        <v>466</v>
      </c>
      <c r="S165" s="9" t="s">
        <v>468</v>
      </c>
      <c r="T165" s="9" t="s">
        <v>469</v>
      </c>
      <c r="U165" s="9" t="s">
        <v>470</v>
      </c>
      <c r="V165" s="9" t="s">
        <v>471</v>
      </c>
      <c r="W165" s="9" t="s">
        <v>472</v>
      </c>
      <c r="X165" s="9" t="s">
        <v>473</v>
      </c>
      <c r="Y165" s="9" t="s">
        <v>474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475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475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475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475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475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475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475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475</v>
      </c>
    </row>
    <row r="177" spans="1:28" x14ac:dyDescent="0.3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420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475</v>
      </c>
    </row>
    <row r="178" spans="1:28" x14ac:dyDescent="0.3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421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422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422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475</v>
      </c>
    </row>
    <row r="180" spans="1:28" x14ac:dyDescent="0.3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423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475</v>
      </c>
    </row>
    <row r="181" spans="1:28" x14ac:dyDescent="0.3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424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425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475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476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477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A164" zoomScale="84" zoomScaleNormal="79" workbookViewId="0">
      <selection activeCell="M171" sqref="M171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1" width="14.44140625" customWidth="1"/>
    <col min="12" max="13" width="15.77734375" customWidth="1"/>
    <col min="14" max="14" width="13" customWidth="1"/>
    <col min="15" max="15" width="11.44140625" customWidth="1"/>
    <col min="17" max="17" width="20.21875" customWidth="1"/>
    <col min="20" max="20" width="19.44140625" customWidth="1"/>
    <col min="21" max="21" width="20.33203125" customWidth="1"/>
  </cols>
  <sheetData>
    <row r="1" spans="1:21" x14ac:dyDescent="0.3">
      <c r="A1" t="s">
        <v>111</v>
      </c>
      <c r="F1" t="s">
        <v>125</v>
      </c>
    </row>
    <row r="2" spans="1:21" ht="15" thickBot="1" x14ac:dyDescent="0.35">
      <c r="A2" s="9" t="s">
        <v>112</v>
      </c>
      <c r="B2" s="9" t="s">
        <v>130</v>
      </c>
    </row>
    <row r="3" spans="1:21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.2" thickBot="1" x14ac:dyDescent="0.35">
      <c r="A5" s="9" t="s">
        <v>19</v>
      </c>
      <c r="B5" s="29" t="s">
        <v>2</v>
      </c>
      <c r="G5" s="45" t="s">
        <v>462</v>
      </c>
      <c r="H5">
        <v>1</v>
      </c>
      <c r="L5" t="s">
        <v>323</v>
      </c>
      <c r="N5">
        <v>1</v>
      </c>
      <c r="Q5" t="s">
        <v>265</v>
      </c>
      <c r="R5">
        <v>1</v>
      </c>
    </row>
    <row r="6" spans="1:21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L6" t="s">
        <v>322</v>
      </c>
      <c r="N6">
        <v>2</v>
      </c>
      <c r="Q6" t="s">
        <v>266</v>
      </c>
      <c r="R6">
        <v>2</v>
      </c>
    </row>
    <row r="7" spans="1:21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L7" t="s">
        <v>324</v>
      </c>
      <c r="N7">
        <v>3</v>
      </c>
    </row>
    <row r="8" spans="1:21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.2" thickBot="1" x14ac:dyDescent="0.35">
      <c r="A9" s="9" t="s">
        <v>23</v>
      </c>
      <c r="B9" s="29" t="s">
        <v>294</v>
      </c>
      <c r="G9" s="53" t="s">
        <v>375</v>
      </c>
      <c r="H9">
        <v>5</v>
      </c>
      <c r="L9" t="s">
        <v>34</v>
      </c>
      <c r="N9">
        <v>5</v>
      </c>
    </row>
    <row r="10" spans="1:21" ht="16.2" thickBot="1" x14ac:dyDescent="0.35">
      <c r="A10" s="9" t="s">
        <v>24</v>
      </c>
      <c r="B10" s="29" t="s">
        <v>33</v>
      </c>
    </row>
    <row r="11" spans="1:21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35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35">
      <c r="B13" s="15"/>
      <c r="G13" t="s">
        <v>105</v>
      </c>
      <c r="H13">
        <v>1</v>
      </c>
      <c r="L13" t="s">
        <v>325</v>
      </c>
      <c r="N13">
        <v>1</v>
      </c>
      <c r="Q13" s="46" t="s">
        <v>136</v>
      </c>
      <c r="R13">
        <v>1</v>
      </c>
      <c r="T13" t="s">
        <v>492</v>
      </c>
      <c r="U13" t="s">
        <v>376</v>
      </c>
    </row>
    <row r="14" spans="1:21" ht="29.4" thickBot="1" x14ac:dyDescent="0.35">
      <c r="B14" s="15"/>
      <c r="G14" t="s">
        <v>372</v>
      </c>
      <c r="H14">
        <v>2</v>
      </c>
      <c r="L14" s="3" t="s">
        <v>326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">
      <c r="A15" s="18" t="s">
        <v>110</v>
      </c>
      <c r="B15" s="15"/>
      <c r="G15" t="s">
        <v>373</v>
      </c>
      <c r="H15">
        <v>3</v>
      </c>
      <c r="Q15" t="s">
        <v>268</v>
      </c>
      <c r="R15">
        <v>3</v>
      </c>
      <c r="T15" t="s">
        <v>298</v>
      </c>
      <c r="U15" t="s">
        <v>493</v>
      </c>
    </row>
    <row r="16" spans="1:21" x14ac:dyDescent="0.3">
      <c r="A16" s="9"/>
      <c r="B16" s="15"/>
      <c r="G16" t="s">
        <v>374</v>
      </c>
      <c r="H16">
        <v>4</v>
      </c>
    </row>
    <row r="17" spans="1:21" x14ac:dyDescent="0.3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L17" s="3"/>
      <c r="M17" s="3"/>
    </row>
    <row r="18" spans="1:21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490</v>
      </c>
    </row>
    <row r="21" spans="1:21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L23" s="54">
        <v>0.875</v>
      </c>
      <c r="M23" s="54"/>
      <c r="N23">
        <v>1</v>
      </c>
    </row>
    <row r="24" spans="1:21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L24" s="54">
        <v>0.91666666666666663</v>
      </c>
      <c r="M24" s="54"/>
      <c r="N24">
        <v>2</v>
      </c>
    </row>
    <row r="25" spans="1:21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L25" s="54">
        <v>0.95833333333333337</v>
      </c>
      <c r="M25" s="54"/>
      <c r="N25">
        <v>3</v>
      </c>
    </row>
    <row r="26" spans="1:21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L26" s="58">
        <v>1</v>
      </c>
      <c r="M26" s="58"/>
      <c r="N26">
        <v>4</v>
      </c>
    </row>
    <row r="27" spans="1:21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L27" t="s">
        <v>306</v>
      </c>
      <c r="N27">
        <v>5</v>
      </c>
    </row>
    <row r="28" spans="1:21" ht="28.8" x14ac:dyDescent="0.3">
      <c r="A28" s="4"/>
      <c r="B28" s="4"/>
      <c r="C28" s="42" t="s">
        <v>310</v>
      </c>
      <c r="D28" s="43" t="s">
        <v>311</v>
      </c>
      <c r="E28" t="s">
        <v>478</v>
      </c>
    </row>
    <row r="30" spans="1:21" x14ac:dyDescent="0.3">
      <c r="A30" s="18" t="s">
        <v>123</v>
      </c>
    </row>
    <row r="32" spans="1:21" ht="15" thickBot="1" x14ac:dyDescent="0.35">
      <c r="A32" s="15" t="s">
        <v>112</v>
      </c>
      <c r="B32" s="9" t="s">
        <v>124</v>
      </c>
    </row>
    <row r="33" spans="1:15" ht="16.2" thickBot="1" x14ac:dyDescent="0.35">
      <c r="A33" s="9" t="s">
        <v>17</v>
      </c>
      <c r="B33" s="30" t="s">
        <v>28</v>
      </c>
    </row>
    <row r="34" spans="1:15" ht="16.2" thickBot="1" x14ac:dyDescent="0.35">
      <c r="A34" s="9" t="s">
        <v>18</v>
      </c>
      <c r="B34" s="31" t="s">
        <v>29</v>
      </c>
      <c r="E34" t="s">
        <v>1</v>
      </c>
    </row>
    <row r="35" spans="1:15" ht="16.2" thickBot="1" x14ac:dyDescent="0.35">
      <c r="A35" s="9" t="s">
        <v>19</v>
      </c>
      <c r="B35" s="31" t="s">
        <v>29</v>
      </c>
      <c r="E35" t="s">
        <v>101</v>
      </c>
    </row>
    <row r="36" spans="1:15" ht="16.2" thickBot="1" x14ac:dyDescent="0.35">
      <c r="A36" s="9" t="s">
        <v>20</v>
      </c>
      <c r="B36" s="31" t="s">
        <v>29</v>
      </c>
      <c r="E36" t="s">
        <v>39</v>
      </c>
    </row>
    <row r="37" spans="1:15" ht="16.2" thickBot="1" x14ac:dyDescent="0.35">
      <c r="A37" s="9" t="s">
        <v>21</v>
      </c>
      <c r="B37" s="31" t="s">
        <v>29</v>
      </c>
      <c r="E37" t="s">
        <v>40</v>
      </c>
    </row>
    <row r="38" spans="1:15" ht="16.2" thickBot="1" x14ac:dyDescent="0.35">
      <c r="A38" s="9" t="s">
        <v>22</v>
      </c>
      <c r="B38" s="31" t="s">
        <v>28</v>
      </c>
      <c r="E38" t="s">
        <v>41</v>
      </c>
    </row>
    <row r="39" spans="1:15" ht="16.2" thickBot="1" x14ac:dyDescent="0.35">
      <c r="A39" s="9" t="s">
        <v>23</v>
      </c>
      <c r="B39" s="31" t="s">
        <v>29</v>
      </c>
      <c r="E39" t="s">
        <v>42</v>
      </c>
    </row>
    <row r="40" spans="1:15" ht="16.2" thickBot="1" x14ac:dyDescent="0.35">
      <c r="A40" s="9" t="s">
        <v>24</v>
      </c>
      <c r="B40" s="31" t="s">
        <v>29</v>
      </c>
      <c r="E40" t="s">
        <v>43</v>
      </c>
    </row>
    <row r="41" spans="1:15" ht="16.2" thickBot="1" x14ac:dyDescent="0.35">
      <c r="A41" s="9" t="s">
        <v>25</v>
      </c>
      <c r="B41" s="32" t="s">
        <v>29</v>
      </c>
      <c r="E41" t="s">
        <v>151</v>
      </c>
    </row>
    <row r="42" spans="1:15" x14ac:dyDescent="0.3">
      <c r="A42" s="9"/>
      <c r="B42" s="9"/>
      <c r="E42" t="s">
        <v>102</v>
      </c>
    </row>
    <row r="43" spans="1:15" x14ac:dyDescent="0.3">
      <c r="E43" t="s">
        <v>103</v>
      </c>
    </row>
    <row r="44" spans="1:15" x14ac:dyDescent="0.3">
      <c r="E44" t="s">
        <v>104</v>
      </c>
    </row>
    <row r="46" spans="1:15" x14ac:dyDescent="0.3">
      <c r="A46" s="9" t="s">
        <v>126</v>
      </c>
    </row>
    <row r="47" spans="1:15" ht="15" thickBot="1" x14ac:dyDescent="0.35">
      <c r="A47" s="18"/>
      <c r="L47" t="s">
        <v>496</v>
      </c>
      <c r="N47" t="s">
        <v>495</v>
      </c>
    </row>
    <row r="48" spans="1:15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100">
        <v>0.91666666666666663</v>
      </c>
      <c r="I51" s="36" t="s">
        <v>371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369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35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370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35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35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430</v>
      </c>
      <c r="O60" s="12"/>
    </row>
    <row r="61" spans="1:15" ht="15" thickBot="1" x14ac:dyDescent="0.35">
      <c r="A61" s="35" t="s">
        <v>422</v>
      </c>
      <c r="B61" s="37" t="s">
        <v>391</v>
      </c>
      <c r="C61" s="37">
        <v>708.33299999999997</v>
      </c>
      <c r="D61" s="37">
        <v>5</v>
      </c>
      <c r="E61" s="83" t="s">
        <v>499</v>
      </c>
      <c r="F61" s="37" t="s">
        <v>458</v>
      </c>
      <c r="G61" s="83" t="s">
        <v>325</v>
      </c>
      <c r="H61" s="102" t="s">
        <v>429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430</v>
      </c>
      <c r="O61" s="12"/>
    </row>
    <row r="62" spans="1:15" ht="15" thickBot="1" x14ac:dyDescent="0.35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35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102" t="s">
        <v>429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35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102" t="s">
        <v>429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">
      <c r="A66" s="37" t="s">
        <v>309</v>
      </c>
    </row>
    <row r="67" spans="1:14" ht="15" thickBot="1" x14ac:dyDescent="0.35">
      <c r="J67" s="37" t="s">
        <v>494</v>
      </c>
      <c r="K67" s="37"/>
    </row>
    <row r="68" spans="1:14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.2" thickBot="1" x14ac:dyDescent="0.35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.2" thickBot="1" x14ac:dyDescent="0.35">
      <c r="A74" s="40" t="s">
        <v>187</v>
      </c>
      <c r="B74" s="41">
        <v>3</v>
      </c>
      <c r="C74" s="41">
        <v>4</v>
      </c>
      <c r="D74" s="103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.2" thickBot="1" x14ac:dyDescent="0.35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.2" thickBot="1" x14ac:dyDescent="0.35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.2" thickBot="1" x14ac:dyDescent="0.35">
      <c r="A81" s="40" t="s">
        <v>422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.2" thickBot="1" x14ac:dyDescent="0.35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.2" thickBot="1" x14ac:dyDescent="0.35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.2" thickBot="1" x14ac:dyDescent="0.35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">
      <c r="A86" s="18" t="s">
        <v>139</v>
      </c>
    </row>
    <row r="89" spans="1:14" x14ac:dyDescent="0.3">
      <c r="A89" t="s">
        <v>140</v>
      </c>
      <c r="F89" t="s">
        <v>141</v>
      </c>
      <c r="J89" t="s">
        <v>142</v>
      </c>
    </row>
    <row r="90" spans="1:14" x14ac:dyDescent="0.3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">
      <c r="A100" t="s">
        <v>420</v>
      </c>
      <c r="B100" s="48">
        <f t="shared" si="0"/>
        <v>1</v>
      </c>
      <c r="F100" t="s">
        <v>420</v>
      </c>
      <c r="G100">
        <f t="shared" si="1"/>
        <v>0.6</v>
      </c>
      <c r="J100" t="s">
        <v>420</v>
      </c>
      <c r="L100">
        <f t="shared" si="2"/>
        <v>0.6</v>
      </c>
    </row>
    <row r="101" spans="1:13" x14ac:dyDescent="0.3">
      <c r="A101" t="s">
        <v>421</v>
      </c>
      <c r="B101" s="48">
        <f t="shared" si="0"/>
        <v>1</v>
      </c>
      <c r="F101" t="s">
        <v>421</v>
      </c>
      <c r="G101">
        <f t="shared" si="1"/>
        <v>0.6</v>
      </c>
      <c r="J101" t="s">
        <v>421</v>
      </c>
      <c r="L101">
        <f t="shared" si="2"/>
        <v>0.6</v>
      </c>
    </row>
    <row r="102" spans="1:13" x14ac:dyDescent="0.3">
      <c r="A102" t="s">
        <v>422</v>
      </c>
      <c r="B102" s="48">
        <f t="shared" si="0"/>
        <v>1</v>
      </c>
      <c r="F102" t="s">
        <v>422</v>
      </c>
      <c r="G102">
        <f t="shared" si="1"/>
        <v>0.6</v>
      </c>
      <c r="J102" t="s">
        <v>422</v>
      </c>
      <c r="L102" s="81">
        <f t="shared" si="2"/>
        <v>0.8</v>
      </c>
      <c r="M102" s="81"/>
    </row>
    <row r="103" spans="1:13" x14ac:dyDescent="0.3">
      <c r="A103" t="s">
        <v>423</v>
      </c>
      <c r="B103" s="48">
        <f t="shared" si="0"/>
        <v>1</v>
      </c>
      <c r="F103" t="s">
        <v>423</v>
      </c>
      <c r="G103">
        <f>C82/5</f>
        <v>0.4</v>
      </c>
      <c r="J103" t="s">
        <v>423</v>
      </c>
      <c r="L103">
        <f t="shared" si="2"/>
        <v>0.8</v>
      </c>
    </row>
    <row r="104" spans="1:13" x14ac:dyDescent="0.3">
      <c r="A104" t="s">
        <v>424</v>
      </c>
      <c r="B104" s="48">
        <f t="shared" si="0"/>
        <v>1</v>
      </c>
      <c r="F104" t="s">
        <v>424</v>
      </c>
      <c r="G104">
        <f t="shared" si="1"/>
        <v>0.6</v>
      </c>
      <c r="J104" t="s">
        <v>424</v>
      </c>
      <c r="L104">
        <f t="shared" si="2"/>
        <v>0.6</v>
      </c>
    </row>
    <row r="105" spans="1:13" x14ac:dyDescent="0.3">
      <c r="A105" t="s">
        <v>425</v>
      </c>
      <c r="B105" s="48">
        <f t="shared" si="0"/>
        <v>1</v>
      </c>
      <c r="F105" t="s">
        <v>425</v>
      </c>
      <c r="G105">
        <f t="shared" si="1"/>
        <v>0.6</v>
      </c>
      <c r="J105" t="s">
        <v>425</v>
      </c>
      <c r="L105">
        <f t="shared" si="2"/>
        <v>0.6</v>
      </c>
    </row>
    <row r="107" spans="1:13" x14ac:dyDescent="0.3">
      <c r="A107" t="s">
        <v>223</v>
      </c>
      <c r="F107" t="s">
        <v>143</v>
      </c>
      <c r="J107" t="s">
        <v>144</v>
      </c>
    </row>
    <row r="108" spans="1:13" x14ac:dyDescent="0.3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">
      <c r="A118" t="s">
        <v>420</v>
      </c>
      <c r="B118">
        <f t="shared" si="3"/>
        <v>0.5</v>
      </c>
      <c r="F118" t="s">
        <v>420</v>
      </c>
      <c r="G118">
        <f t="shared" si="4"/>
        <v>1</v>
      </c>
      <c r="J118" t="s">
        <v>420</v>
      </c>
      <c r="L118">
        <f t="shared" si="5"/>
        <v>1</v>
      </c>
    </row>
    <row r="119" spans="1:19" x14ac:dyDescent="0.3">
      <c r="A119" t="s">
        <v>421</v>
      </c>
      <c r="B119">
        <f t="shared" si="3"/>
        <v>0.5</v>
      </c>
      <c r="F119" t="s">
        <v>421</v>
      </c>
      <c r="G119">
        <f t="shared" si="4"/>
        <v>1</v>
      </c>
      <c r="J119" t="s">
        <v>421</v>
      </c>
      <c r="L119">
        <f>2/G80</f>
        <v>0.66666666666666663</v>
      </c>
    </row>
    <row r="120" spans="1:19" x14ac:dyDescent="0.3">
      <c r="A120" t="s">
        <v>422</v>
      </c>
      <c r="B120">
        <f t="shared" si="3"/>
        <v>0.5</v>
      </c>
      <c r="F120" t="s">
        <v>422</v>
      </c>
      <c r="G120" s="81">
        <f>F81/2</f>
        <v>0.5</v>
      </c>
      <c r="J120" t="s">
        <v>422</v>
      </c>
      <c r="L120">
        <f t="shared" si="5"/>
        <v>0.4</v>
      </c>
    </row>
    <row r="121" spans="1:19" x14ac:dyDescent="0.3">
      <c r="A121" t="s">
        <v>423</v>
      </c>
      <c r="B121">
        <f t="shared" si="3"/>
        <v>0.5</v>
      </c>
      <c r="F121" t="s">
        <v>423</v>
      </c>
      <c r="G121">
        <f t="shared" si="4"/>
        <v>1</v>
      </c>
      <c r="J121" t="s">
        <v>423</v>
      </c>
      <c r="L121">
        <f t="shared" si="5"/>
        <v>0.4</v>
      </c>
    </row>
    <row r="122" spans="1:19" x14ac:dyDescent="0.3">
      <c r="A122" t="s">
        <v>424</v>
      </c>
      <c r="B122">
        <f t="shared" si="3"/>
        <v>0.5</v>
      </c>
      <c r="F122" t="s">
        <v>424</v>
      </c>
      <c r="G122">
        <f t="shared" si="4"/>
        <v>0.5</v>
      </c>
      <c r="J122" t="s">
        <v>424</v>
      </c>
      <c r="L122">
        <f t="shared" si="5"/>
        <v>0.4</v>
      </c>
    </row>
    <row r="123" spans="1:19" x14ac:dyDescent="0.3">
      <c r="A123" t="s">
        <v>425</v>
      </c>
      <c r="B123">
        <f t="shared" si="3"/>
        <v>0.5</v>
      </c>
      <c r="F123" t="s">
        <v>425</v>
      </c>
      <c r="G123">
        <f t="shared" si="4"/>
        <v>1</v>
      </c>
      <c r="J123" t="s">
        <v>425</v>
      </c>
      <c r="L123">
        <f t="shared" si="5"/>
        <v>0.4</v>
      </c>
    </row>
    <row r="125" spans="1:19" x14ac:dyDescent="0.3">
      <c r="A125" t="s">
        <v>145</v>
      </c>
      <c r="F125" t="s">
        <v>146</v>
      </c>
      <c r="J125" s="79" t="s">
        <v>497</v>
      </c>
      <c r="K125" s="79"/>
      <c r="L125" s="79"/>
      <c r="M125" s="79"/>
      <c r="N125" s="79"/>
      <c r="P125" s="85" t="s">
        <v>497</v>
      </c>
      <c r="Q125" s="85"/>
      <c r="R125" s="85"/>
      <c r="S125" s="85"/>
    </row>
    <row r="126" spans="1:19" x14ac:dyDescent="0.3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">
      <c r="A136" t="s">
        <v>420</v>
      </c>
      <c r="B136">
        <f t="shared" si="6"/>
        <v>0.5</v>
      </c>
      <c r="F136" t="s">
        <v>420</v>
      </c>
      <c r="G136" s="19">
        <f t="shared" si="7"/>
        <v>0.66666666666666663</v>
      </c>
      <c r="J136" s="79" t="s">
        <v>420</v>
      </c>
      <c r="K136" s="79"/>
      <c r="L136" s="80">
        <f t="shared" si="8"/>
        <v>0.66666666666666663</v>
      </c>
      <c r="M136" s="80"/>
      <c r="N136" s="79"/>
      <c r="P136" s="85" t="s">
        <v>420</v>
      </c>
      <c r="Q136" s="86">
        <f t="shared" si="9"/>
        <v>1</v>
      </c>
      <c r="R136" s="85"/>
      <c r="S136" s="85"/>
    </row>
    <row r="137" spans="1:19" x14ac:dyDescent="0.3">
      <c r="A137" t="s">
        <v>421</v>
      </c>
      <c r="B137">
        <f t="shared" si="6"/>
        <v>1</v>
      </c>
      <c r="F137" t="s">
        <v>421</v>
      </c>
      <c r="G137" s="19">
        <f t="shared" si="7"/>
        <v>0.66666666666666663</v>
      </c>
      <c r="J137" s="79" t="s">
        <v>421</v>
      </c>
      <c r="K137" s="79"/>
      <c r="L137" s="80">
        <f t="shared" si="8"/>
        <v>0.33333333333333331</v>
      </c>
      <c r="M137" s="80"/>
      <c r="N137" s="79"/>
      <c r="P137" s="85" t="s">
        <v>421</v>
      </c>
      <c r="Q137" s="86">
        <f t="shared" si="9"/>
        <v>0.5</v>
      </c>
      <c r="R137" s="85"/>
      <c r="S137" s="85"/>
    </row>
    <row r="138" spans="1:19" x14ac:dyDescent="0.3">
      <c r="A138" t="s">
        <v>422</v>
      </c>
      <c r="B138">
        <f>H81/2</f>
        <v>1</v>
      </c>
      <c r="F138" t="s">
        <v>422</v>
      </c>
      <c r="G138" s="82">
        <f>I81/3</f>
        <v>0.33333333333333331</v>
      </c>
      <c r="J138" s="79" t="s">
        <v>422</v>
      </c>
      <c r="K138" s="79"/>
      <c r="L138" s="80">
        <f t="shared" si="8"/>
        <v>0.33333333333333331</v>
      </c>
      <c r="M138" s="80"/>
      <c r="N138" s="79"/>
      <c r="P138" s="85" t="s">
        <v>422</v>
      </c>
      <c r="Q138" s="86">
        <f t="shared" si="9"/>
        <v>0.5</v>
      </c>
      <c r="R138" s="85"/>
      <c r="S138" s="85"/>
    </row>
    <row r="139" spans="1:19" x14ac:dyDescent="0.3">
      <c r="A139" t="s">
        <v>423</v>
      </c>
      <c r="B139">
        <f t="shared" si="6"/>
        <v>1</v>
      </c>
      <c r="F139" t="s">
        <v>423</v>
      </c>
      <c r="G139" s="19">
        <f t="shared" si="7"/>
        <v>0.66666666666666663</v>
      </c>
      <c r="J139" s="79" t="s">
        <v>423</v>
      </c>
      <c r="K139" s="79"/>
      <c r="L139" s="80">
        <f t="shared" si="8"/>
        <v>0.33333333333333331</v>
      </c>
      <c r="M139" s="80"/>
      <c r="N139" s="79"/>
      <c r="P139" s="85" t="s">
        <v>423</v>
      </c>
      <c r="Q139" s="86">
        <f t="shared" si="9"/>
        <v>0.5</v>
      </c>
      <c r="R139" s="85"/>
      <c r="S139" s="85"/>
    </row>
    <row r="140" spans="1:19" x14ac:dyDescent="0.3">
      <c r="A140" t="s">
        <v>424</v>
      </c>
      <c r="B140">
        <f t="shared" si="6"/>
        <v>1</v>
      </c>
      <c r="F140" t="s">
        <v>424</v>
      </c>
      <c r="G140" s="19">
        <f t="shared" si="7"/>
        <v>1</v>
      </c>
      <c r="J140" s="79" t="s">
        <v>424</v>
      </c>
      <c r="K140" s="79"/>
      <c r="L140" s="80">
        <f t="shared" si="8"/>
        <v>0.66666666666666663</v>
      </c>
      <c r="M140" s="80"/>
      <c r="N140" s="79"/>
      <c r="P140" s="85" t="s">
        <v>424</v>
      </c>
      <c r="Q140" s="86">
        <f t="shared" si="9"/>
        <v>1</v>
      </c>
      <c r="R140" s="85"/>
      <c r="S140" s="85"/>
    </row>
    <row r="141" spans="1:19" x14ac:dyDescent="0.3">
      <c r="A141" t="s">
        <v>425</v>
      </c>
      <c r="B141">
        <f t="shared" si="6"/>
        <v>1</v>
      </c>
      <c r="F141" t="s">
        <v>425</v>
      </c>
      <c r="G141" s="19">
        <f t="shared" si="7"/>
        <v>0.66666666666666663</v>
      </c>
      <c r="J141" s="79" t="s">
        <v>425</v>
      </c>
      <c r="K141" s="79"/>
      <c r="L141" s="80">
        <f t="shared" si="8"/>
        <v>0.66666666666666663</v>
      </c>
      <c r="M141" s="80"/>
      <c r="N141" s="79"/>
      <c r="P141" s="85" t="s">
        <v>425</v>
      </c>
      <c r="Q141" s="86">
        <f t="shared" si="9"/>
        <v>1</v>
      </c>
      <c r="R141" s="85"/>
      <c r="S141" s="85"/>
    </row>
    <row r="142" spans="1:19" x14ac:dyDescent="0.3">
      <c r="L142" t="s">
        <v>495</v>
      </c>
      <c r="Q142" t="s">
        <v>498</v>
      </c>
    </row>
    <row r="143" spans="1:19" x14ac:dyDescent="0.3">
      <c r="A143" t="s">
        <v>147</v>
      </c>
    </row>
    <row r="144" spans="1:19" x14ac:dyDescent="0.3">
      <c r="J144" t="s">
        <v>495</v>
      </c>
      <c r="L144" t="s">
        <v>498</v>
      </c>
    </row>
    <row r="145" spans="1:27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">
      <c r="A156" s="9" t="s">
        <v>420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420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">
      <c r="A157" s="9" t="s">
        <v>421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421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">
      <c r="A158" s="9" t="s">
        <v>422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422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">
      <c r="A159" s="9" t="s">
        <v>423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423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">
      <c r="A160" s="9" t="s">
        <v>424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424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">
      <c r="A161" s="9" t="s">
        <v>425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425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">
      <c r="A164" s="9" t="s">
        <v>465</v>
      </c>
      <c r="J164" t="s">
        <v>496</v>
      </c>
      <c r="K164" t="s">
        <v>495</v>
      </c>
      <c r="R164" s="18" t="s">
        <v>465</v>
      </c>
    </row>
    <row r="165" spans="1:30" x14ac:dyDescent="0.3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66" t="s">
        <v>487</v>
      </c>
      <c r="K165" s="87" t="s">
        <v>487</v>
      </c>
      <c r="L165" s="12"/>
      <c r="M165" s="12"/>
      <c r="N165" s="9"/>
      <c r="O165" s="12"/>
      <c r="P165" s="12"/>
      <c r="R165" s="9"/>
      <c r="S165" s="9" t="s">
        <v>467</v>
      </c>
      <c r="T165" s="9" t="s">
        <v>466</v>
      </c>
      <c r="U165" s="9" t="s">
        <v>468</v>
      </c>
      <c r="V165" s="9" t="s">
        <v>469</v>
      </c>
      <c r="W165" s="9" t="s">
        <v>470</v>
      </c>
      <c r="X165" s="9" t="s">
        <v>471</v>
      </c>
      <c r="Y165" s="9" t="s">
        <v>472</v>
      </c>
      <c r="Z165" s="9" t="s">
        <v>473</v>
      </c>
      <c r="AA165" s="9" t="s">
        <v>474</v>
      </c>
      <c r="AB165" s="9"/>
      <c r="AC165" s="9"/>
      <c r="AD165" s="9"/>
    </row>
    <row r="166" spans="1:30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475</v>
      </c>
    </row>
    <row r="168" spans="1:30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475</v>
      </c>
    </row>
    <row r="169" spans="1:30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475</v>
      </c>
    </row>
    <row r="171" spans="1:30" x14ac:dyDescent="0.3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475</v>
      </c>
    </row>
    <row r="172" spans="1:30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475</v>
      </c>
    </row>
    <row r="173" spans="1:30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475</v>
      </c>
    </row>
    <row r="174" spans="1:30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475</v>
      </c>
    </row>
    <row r="176" spans="1:30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475</v>
      </c>
    </row>
    <row r="177" spans="1:30" x14ac:dyDescent="0.3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420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475</v>
      </c>
    </row>
    <row r="178" spans="1:30" x14ac:dyDescent="0.3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421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">
      <c r="A179" s="9" t="s">
        <v>422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422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475</v>
      </c>
    </row>
    <row r="180" spans="1:30" x14ac:dyDescent="0.3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423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475</v>
      </c>
    </row>
    <row r="181" spans="1:30" x14ac:dyDescent="0.3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424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425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475</v>
      </c>
    </row>
    <row r="185" spans="1:30" x14ac:dyDescent="0.3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">
      <c r="R187" t="s">
        <v>476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">
      <c r="R189" t="s">
        <v>477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4" x14ac:dyDescent="0.3"/>
  <cols>
    <col min="1" max="1" width="12.33203125" customWidth="1"/>
    <col min="2" max="2" width="24.109375" customWidth="1"/>
    <col min="3" max="3" width="16.6640625" bestFit="1" customWidth="1"/>
    <col min="4" max="4" width="33.109375" customWidth="1"/>
  </cols>
  <sheetData>
    <row r="1" spans="1:4" ht="15" thickBot="1" x14ac:dyDescent="0.35">
      <c r="A1" s="9" t="s">
        <v>112</v>
      </c>
      <c r="B1" s="9" t="s">
        <v>130</v>
      </c>
      <c r="C1" t="s">
        <v>11</v>
      </c>
    </row>
    <row r="2" spans="1:4" ht="16.2" thickBot="1" x14ac:dyDescent="0.35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.2" thickBot="1" x14ac:dyDescent="0.35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16.2" thickBot="1" x14ac:dyDescent="0.35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.2" thickBot="1" x14ac:dyDescent="0.35">
      <c r="A5" s="9" t="s">
        <v>20</v>
      </c>
      <c r="B5" s="29" t="s">
        <v>3</v>
      </c>
    </row>
    <row r="6" spans="1:4" ht="16.2" thickBot="1" x14ac:dyDescent="0.35">
      <c r="A6" s="9" t="s">
        <v>21</v>
      </c>
      <c r="B6" s="29" t="s">
        <v>4</v>
      </c>
    </row>
    <row r="7" spans="1:4" ht="16.2" thickBot="1" x14ac:dyDescent="0.35">
      <c r="A7" s="9" t="s">
        <v>22</v>
      </c>
      <c r="B7" s="29" t="s">
        <v>293</v>
      </c>
    </row>
    <row r="8" spans="1:4" ht="16.2" thickBot="1" x14ac:dyDescent="0.35">
      <c r="A8" s="9" t="s">
        <v>23</v>
      </c>
      <c r="B8" s="29" t="s">
        <v>294</v>
      </c>
    </row>
    <row r="9" spans="1:4" ht="16.2" thickBot="1" x14ac:dyDescent="0.35">
      <c r="A9" s="9" t="s">
        <v>24</v>
      </c>
      <c r="B9" s="29" t="s">
        <v>33</v>
      </c>
    </row>
    <row r="10" spans="1:4" ht="16.2" thickBot="1" x14ac:dyDescent="0.35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2026-02-17T22:25:23Z</dcterms:modified>
</cp:coreProperties>
</file>